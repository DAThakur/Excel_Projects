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Data Analyst\Excel\Projects\Vijay_Sales\"/>
    </mc:Choice>
  </mc:AlternateContent>
  <xr:revisionPtr revIDLastSave="0" documentId="13_ncr:1_{51FE97A0-AFDD-4D44-A540-0311D3920607}" xr6:coauthVersionLast="47" xr6:coauthVersionMax="47" xr10:uidLastSave="{00000000-0000-0000-0000-000000000000}"/>
  <bookViews>
    <workbookView xWindow="-120" yWindow="-120" windowWidth="20730" windowHeight="11040" tabRatio="918" activeTab="3" xr2:uid="{5E7C015A-029B-4FA1-B3A5-D1E6BA37492D}"/>
  </bookViews>
  <sheets>
    <sheet name="Sales_Data" sheetId="1" r:id="rId1"/>
    <sheet name="Dashboard" sheetId="9" r:id="rId2"/>
    <sheet name="Analysis" sheetId="11" r:id="rId3"/>
    <sheet name="Conclusion &amp; Recommendation " sheetId="14" r:id="rId4"/>
    <sheet name="Sales by Product" sheetId="2" state="hidden" r:id="rId5"/>
    <sheet name="Top 5 Sales person" sheetId="3" state="hidden" r:id="rId6"/>
    <sheet name="Sales by Branch" sheetId="4" state="hidden" r:id="rId7"/>
    <sheet name="Air COnditioner" sheetId="5" state="hidden" r:id="rId8"/>
    <sheet name="Refrigerator" sheetId="6" state="hidden" r:id="rId9"/>
    <sheet name="Television" sheetId="7" state="hidden" r:id="rId10"/>
    <sheet name="Wasing Machine" sheetId="8" state="hidden" r:id="rId11"/>
  </sheets>
  <definedNames>
    <definedName name="_xlnm._FilterDatabase" localSheetId="0" hidden="1">Sales_Data!$A$1:$E$62</definedName>
    <definedName name="Slicer_Branch">#N/A</definedName>
    <definedName name="Slicer_Product_Name">#N/A</definedName>
  </definedNames>
  <calcPr calcId="191029"/>
  <pivotCaches>
    <pivotCache cacheId="162"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3" i="1" l="1"/>
</calcChain>
</file>

<file path=xl/sharedStrings.xml><?xml version="1.0" encoding="utf-8"?>
<sst xmlns="http://schemas.openxmlformats.org/spreadsheetml/2006/main" count="277" uniqueCount="70">
  <si>
    <t>Branch</t>
  </si>
  <si>
    <t>Sales Person</t>
  </si>
  <si>
    <t>Product Name</t>
  </si>
  <si>
    <t>Qty</t>
  </si>
  <si>
    <t>North Coast</t>
  </si>
  <si>
    <t>Altercon. C</t>
  </si>
  <si>
    <t>Air Conditioner</t>
  </si>
  <si>
    <t>Refrigerator</t>
  </si>
  <si>
    <t>East Coast</t>
  </si>
  <si>
    <t>Anderson. P</t>
  </si>
  <si>
    <t>Television</t>
  </si>
  <si>
    <t>Washing Machine</t>
  </si>
  <si>
    <t>Atterson. P</t>
  </si>
  <si>
    <t>Bonders. P</t>
  </si>
  <si>
    <t>Connely. K</t>
  </si>
  <si>
    <t>Dinnel. M</t>
  </si>
  <si>
    <t>Edford. O</t>
  </si>
  <si>
    <t>South Coast</t>
  </si>
  <si>
    <t>Franly. S</t>
  </si>
  <si>
    <t>Grooner. T</t>
  </si>
  <si>
    <t>Hannis. H</t>
  </si>
  <si>
    <t>Ilknis. K</t>
  </si>
  <si>
    <t>Jarison. P</t>
  </si>
  <si>
    <t>Johnson. A</t>
  </si>
  <si>
    <t>Kinsly. N</t>
  </si>
  <si>
    <t>Lavin. T</t>
  </si>
  <si>
    <t>Lumford. T</t>
  </si>
  <si>
    <t>Moodley. L</t>
  </si>
  <si>
    <t>Naidoo. L</t>
  </si>
  <si>
    <t>Newson. L</t>
  </si>
  <si>
    <t>West Coast</t>
  </si>
  <si>
    <t>Numkin. M</t>
  </si>
  <si>
    <t>Oddesy. Y</t>
  </si>
  <si>
    <t>Oxford. D</t>
  </si>
  <si>
    <t>Perks. M</t>
  </si>
  <si>
    <t>Peters. K</t>
  </si>
  <si>
    <t>Petty. A</t>
  </si>
  <si>
    <t>Pursly. U</t>
  </si>
  <si>
    <t>Rooney. Y</t>
  </si>
  <si>
    <t>Stanly. N</t>
  </si>
  <si>
    <t>Toonly. S</t>
  </si>
  <si>
    <t>Row Labels</t>
  </si>
  <si>
    <t>Column Labels</t>
  </si>
  <si>
    <t>Introduction</t>
  </si>
  <si>
    <t>Analysis Sections</t>
  </si>
  <si>
    <t>1. Sales by Product</t>
  </si>
  <si>
    <t>4. Top 5 Sales Persons</t>
  </si>
  <si>
    <t>Sales Amount</t>
  </si>
  <si>
    <t>Sum of Sales Amount</t>
  </si>
  <si>
    <t>2. Sales by Branch</t>
  </si>
  <si>
    <t>Here are the meaningful insights based on the provided data:</t>
  </si>
  <si>
    <t xml:space="preserve">   - Refrigerator is consistently the top-selling product across all branches.</t>
  </si>
  <si>
    <t xml:space="preserve">   - Consider implementing discounts and offers on Refrigerator to further boost sales and capitalize on its popularity.</t>
  </si>
  <si>
    <t xml:space="preserve">   - Air Conditioner and Washing Machine sales in the East Coast contribute less than 12% to the total sales.</t>
  </si>
  <si>
    <t xml:space="preserve">   - It may be beneficial to discontinue selling Air Conditioners and Washing Machines in the East Coast branch to focus on more profitable products.</t>
  </si>
  <si>
    <t xml:space="preserve">   - The South Coast branch shows balanced sales across all products, indicating a healthy and successful business operation.</t>
  </si>
  <si>
    <t xml:space="preserve">   - Continue to monitor and support the South Coast branch as it maintains a good balance in product sales.</t>
  </si>
  <si>
    <t xml:space="preserve">   - Television sales in the West Coast branch are not performing well.</t>
  </si>
  <si>
    <t xml:space="preserve">   - Consider discontinuing Television sales in the West Coast branch to reallocate resources and focus on more profitable products or marketing strategies.</t>
  </si>
  <si>
    <t>1. Refrigerator Sales Strategy:</t>
  </si>
  <si>
    <t>2. Product Optimization for East Coast Branch:</t>
  </si>
  <si>
    <t>3. Performance of South Coast Business:</t>
  </si>
  <si>
    <t>4. Optimizing West Coast Branch:</t>
  </si>
  <si>
    <t>Amount</t>
  </si>
  <si>
    <t>Product</t>
  </si>
  <si>
    <t xml:space="preserve">Vijay Sales  Performance Analysis </t>
  </si>
  <si>
    <t>Welcome to the Vijay Sales Performance Analysis project documentation. This Excel workbook is designed to analyze sales data from multiple perspectives, including sales by product, sales by person, sales by branch, and more.</t>
  </si>
  <si>
    <t>Top Product : Refrigerator ( 30.81%)</t>
  </si>
  <si>
    <t>Top Branch : West Coast ( 31.20%)</t>
  </si>
  <si>
    <t>Top Sales Person : Numkin. M ( 9.90%)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</si>
</sst>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1" formatCode="[$$-C09]#,##0.00"/>
  </numFmts>
  <fonts count="8" x14ac:knownFonts="1">
    <font>
      <sz val="11"/>
      <color theme="1"/>
      <name val="Calibri"/>
      <family val="2"/>
      <scheme val="minor"/>
    </font>
    <font>
      <b/>
      <sz val="24"/>
      <color theme="1"/>
      <name val="Calibri"/>
      <family val="2"/>
      <scheme val="minor"/>
    </font>
    <font>
      <sz val="24.75"/>
      <color rgb="FF0D0D0D"/>
      <name val="Segoe UI"/>
      <family val="2"/>
    </font>
    <font>
      <sz val="16.5"/>
      <color rgb="FF0D0D0D"/>
      <name val="Segoe UI"/>
      <family val="2"/>
    </font>
    <font>
      <sz val="12"/>
      <color rgb="FF0D0D0D"/>
      <name val="Segoe UI"/>
      <family val="2"/>
    </font>
    <font>
      <sz val="13.75"/>
      <color rgb="FF0D0D0D"/>
      <name val="Segoe UI"/>
      <family val="2"/>
    </font>
    <font>
      <b/>
      <sz val="10"/>
      <name val="Arial"/>
      <family val="2"/>
    </font>
    <font>
      <sz val="14"/>
      <color rgb="FF0D0D0D"/>
      <name val="Segoe UI"/>
      <family val="2"/>
    </font>
  </fonts>
  <fills count="4">
    <fill>
      <patternFill patternType="none"/>
    </fill>
    <fill>
      <patternFill patternType="gray125"/>
    </fill>
    <fill>
      <patternFill patternType="solid">
        <fgColor theme="3"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1">
    <xf numFmtId="0" fontId="0" fillId="0" borderId="0"/>
  </cellStyleXfs>
  <cellXfs count="23">
    <xf numFmtId="0" fontId="0" fillId="0" borderId="0" xfId="0"/>
    <xf numFmtId="0" fontId="0" fillId="0" borderId="1" xfId="0" applyBorder="1"/>
    <xf numFmtId="0" fontId="0" fillId="0" borderId="0" xfId="0" pivotButton="1"/>
    <xf numFmtId="0" fontId="0" fillId="0" borderId="0" xfId="0" applyAlignment="1">
      <alignment horizontal="left"/>
    </xf>
    <xf numFmtId="0" fontId="0" fillId="2" borderId="0" xfId="0" applyFill="1"/>
    <xf numFmtId="0" fontId="1" fillId="2" borderId="0" xfId="0" applyFont="1" applyFill="1" applyAlignment="1">
      <alignment horizontal="center" wrapText="1"/>
    </xf>
    <xf numFmtId="0" fontId="3" fillId="0" borderId="0" xfId="0" applyFont="1" applyAlignment="1">
      <alignment vertical="center"/>
    </xf>
    <xf numFmtId="0" fontId="0" fillId="0" borderId="0" xfId="0" applyAlignment="1">
      <alignment horizontal="left" vertical="center" indent="1"/>
    </xf>
    <xf numFmtId="0" fontId="5" fillId="0" borderId="0" xfId="0" applyFont="1" applyAlignment="1">
      <alignment vertical="center"/>
    </xf>
    <xf numFmtId="0" fontId="4" fillId="0" borderId="0" xfId="0" applyFont="1" applyAlignment="1">
      <alignment horizontal="left" vertical="center" indent="1"/>
    </xf>
    <xf numFmtId="0" fontId="0" fillId="0" borderId="0" xfId="0" applyNumberFormat="1"/>
    <xf numFmtId="0" fontId="6" fillId="0" borderId="1" xfId="0" applyFont="1" applyBorder="1" applyAlignment="1">
      <alignment horizontal="center"/>
    </xf>
    <xf numFmtId="2" fontId="6" fillId="0" borderId="1" xfId="0" applyNumberFormat="1" applyFont="1" applyBorder="1"/>
    <xf numFmtId="171" fontId="0" fillId="0" borderId="1" xfId="0" applyNumberFormat="1" applyBorder="1"/>
    <xf numFmtId="2" fontId="0" fillId="0" borderId="0" xfId="0" applyNumberFormat="1"/>
    <xf numFmtId="0" fontId="5" fillId="0" borderId="2" xfId="0" applyFont="1" applyBorder="1" applyAlignment="1">
      <alignment vertical="center"/>
    </xf>
    <xf numFmtId="0" fontId="0" fillId="0" borderId="2" xfId="0" applyBorder="1"/>
    <xf numFmtId="171" fontId="0" fillId="0" borderId="0" xfId="0" applyNumberFormat="1"/>
    <xf numFmtId="0" fontId="0" fillId="0" borderId="2" xfId="0" applyFont="1" applyBorder="1"/>
    <xf numFmtId="0" fontId="2" fillId="0" borderId="2" xfId="0" applyFont="1" applyBorder="1" applyAlignment="1">
      <alignment vertical="center"/>
    </xf>
    <xf numFmtId="0" fontId="7" fillId="0" borderId="0" xfId="0" applyFont="1" applyAlignment="1">
      <alignment horizontal="left" vertical="center" wrapText="1"/>
    </xf>
    <xf numFmtId="0" fontId="5" fillId="3" borderId="0" xfId="0" applyFont="1" applyFill="1" applyAlignment="1">
      <alignment vertical="center"/>
    </xf>
    <xf numFmtId="0" fontId="0" fillId="3" borderId="0" xfId="0" applyFill="1"/>
  </cellXfs>
  <cellStyles count="1">
    <cellStyle name="Normal" xfId="0" builtinId="0"/>
  </cellStyles>
  <dxfs count="2">
    <dxf>
      <numFmt numFmtId="2" formatCode="0.00"/>
    </dxf>
    <dxf>
      <font>
        <color theme="9"/>
      </font>
    </dxf>
  </dxfs>
  <tableStyles count="2" defaultTableStyle="TableStyleMedium2" defaultPivotStyle="PivotStyleLight16">
    <tableStyle name="Invisible" pivot="0" table="0" count="0" xr9:uid="{DCA55897-A9B4-4240-B63D-5996AC076EAB}"/>
    <tableStyle name="Slicer Style 1" pivot="0" table="0" count="1" xr9:uid="{5C5DC07C-4E59-4002-B478-D2ECB550DE70}">
      <tableStyleElement type="headerRow" dxfId="1"/>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[Vijay Sales.xlsm]Wasing Machine!PivotTable7</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'Wasing Machine'!$B$3:$B$4</c:f>
              <c:strCache>
                <c:ptCount val="1"/>
                <c:pt idx="0">
                  <c:v>Washing Machine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'Wasing Machine'!$A$5:$A$7</c:f>
              <c:strCache>
                <c:ptCount val="3"/>
                <c:pt idx="0">
                  <c:v>Connely. K</c:v>
                </c:pt>
                <c:pt idx="1">
                  <c:v>Numkin. M</c:v>
                </c:pt>
                <c:pt idx="2">
                  <c:v>Toonly. S</c:v>
                </c:pt>
              </c:strCache>
            </c:strRef>
          </c:cat>
          <c:val>
            <c:numRef>
              <c:f>'Wasing Machine'!$B$5:$B$7</c:f>
              <c:numCache>
                <c:formatCode>General</c:formatCode>
                <c:ptCount val="3"/>
                <c:pt idx="0">
                  <c:v>835.2</c:v>
                </c:pt>
                <c:pt idx="1">
                  <c:v>3125</c:v>
                </c:pt>
                <c:pt idx="2">
                  <c:v>1093.05</c:v>
                </c:pt>
              </c:numCache>
            </c:numRef>
          </c:val>
          <c:extLst>
            <c:ext xmlns:c16="http://schemas.microsoft.com/office/drawing/2014/chart" uri="{C3380CC4-5D6E-409C-BE32-E72D297353CC}">
              <c16:uniqueId val="{00000000-4ECA-48C3-80A9-6301934E790C}"/>
            </c:ext>
          </c:extLst>
        </c:ser>
        <c:dLbls>
          <c:dLblPos val="outEnd"/>
          <c:showLegendKey val="0"/>
          <c:showVal val="1"/>
          <c:showCatName val="0"/>
          <c:showSerName val="0"/>
          <c:showPercent val="0"/>
          <c:showBubbleSize val="0"/>
        </c:dLbls>
        <c:gapWidth val="100"/>
        <c:overlap val="-24"/>
        <c:axId val="564562448"/>
        <c:axId val="564558128"/>
      </c:barChart>
      <c:catAx>
        <c:axId val="564562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58128"/>
        <c:crosses val="autoZero"/>
        <c:auto val="1"/>
        <c:lblAlgn val="ctr"/>
        <c:lblOffset val="100"/>
        <c:noMultiLvlLbl val="0"/>
      </c:catAx>
      <c:valAx>
        <c:axId val="564558128"/>
        <c:scaling>
          <c:orientation val="minMax"/>
        </c:scaling>
        <c:delete val="1"/>
        <c:axPos val="l"/>
        <c:numFmt formatCode="General" sourceLinked="1"/>
        <c:majorTickMark val="none"/>
        <c:minorTickMark val="none"/>
        <c:tickLblPos val="nextTo"/>
        <c:crossAx val="564562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[Vijay Sales.xlsm]Television!PivotTable6</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Television!$B$3:$B$4</c:f>
              <c:strCache>
                <c:ptCount val="1"/>
                <c:pt idx="0">
                  <c:v>Television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Television!$A$5:$A$7</c:f>
              <c:strCache>
                <c:ptCount val="3"/>
                <c:pt idx="0">
                  <c:v>Bonders. P</c:v>
                </c:pt>
                <c:pt idx="1">
                  <c:v>Ilknis. K</c:v>
                </c:pt>
                <c:pt idx="2">
                  <c:v>Moodley. L</c:v>
                </c:pt>
              </c:strCache>
            </c:strRef>
          </c:cat>
          <c:val>
            <c:numRef>
              <c:f>Television!$B$5:$B$7</c:f>
              <c:numCache>
                <c:formatCode>General</c:formatCode>
                <c:ptCount val="3"/>
                <c:pt idx="0">
                  <c:v>1280</c:v>
                </c:pt>
                <c:pt idx="1">
                  <c:v>1060</c:v>
                </c:pt>
                <c:pt idx="2">
                  <c:v>912</c:v>
                </c:pt>
              </c:numCache>
            </c:numRef>
          </c:val>
          <c:extLst>
            <c:ext xmlns:c16="http://schemas.microsoft.com/office/drawing/2014/chart" uri="{C3380CC4-5D6E-409C-BE32-E72D297353CC}">
              <c16:uniqueId val="{00000005-6DC1-43AD-BB98-79E087AA3F87}"/>
            </c:ext>
          </c:extLst>
        </c:ser>
        <c:dLbls>
          <c:dLblPos val="outEnd"/>
          <c:showLegendKey val="0"/>
          <c:showVal val="1"/>
          <c:showCatName val="0"/>
          <c:showSerName val="0"/>
          <c:showPercent val="0"/>
          <c:showBubbleSize val="0"/>
        </c:dLbls>
        <c:gapWidth val="100"/>
        <c:overlap val="-24"/>
        <c:axId val="564565328"/>
        <c:axId val="564556208"/>
      </c:barChart>
      <c:catAx>
        <c:axId val="564565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56208"/>
        <c:crosses val="autoZero"/>
        <c:auto val="1"/>
        <c:lblAlgn val="ctr"/>
        <c:lblOffset val="100"/>
        <c:noMultiLvlLbl val="0"/>
      </c:catAx>
      <c:valAx>
        <c:axId val="564556208"/>
        <c:scaling>
          <c:orientation val="minMax"/>
        </c:scaling>
        <c:delete val="1"/>
        <c:axPos val="l"/>
        <c:numFmt formatCode="General" sourceLinked="1"/>
        <c:majorTickMark val="none"/>
        <c:minorTickMark val="none"/>
        <c:tickLblPos val="nextTo"/>
        <c:crossAx val="5645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[Vijay Sales.xlsm]Refrigerator!PivotTable5</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Refrigerator!$B$3:$B$4</c:f>
              <c:strCache>
                <c:ptCount val="1"/>
                <c:pt idx="0">
                  <c:v>Refrigerator</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Refrigerator!$A$5:$A$7</c:f>
              <c:strCache>
                <c:ptCount val="3"/>
                <c:pt idx="0">
                  <c:v>Atterson. P</c:v>
                </c:pt>
                <c:pt idx="1">
                  <c:v>Bonders. P</c:v>
                </c:pt>
                <c:pt idx="2">
                  <c:v>Stanly. N</c:v>
                </c:pt>
              </c:strCache>
            </c:strRef>
          </c:cat>
          <c:val>
            <c:numRef>
              <c:f>Refrigerator!$B$5:$B$7</c:f>
              <c:numCache>
                <c:formatCode>General</c:formatCode>
                <c:ptCount val="3"/>
                <c:pt idx="0">
                  <c:v>1560</c:v>
                </c:pt>
                <c:pt idx="1">
                  <c:v>1440</c:v>
                </c:pt>
                <c:pt idx="2">
                  <c:v>2088</c:v>
                </c:pt>
              </c:numCache>
            </c:numRef>
          </c:val>
          <c:extLst>
            <c:ext xmlns:c16="http://schemas.microsoft.com/office/drawing/2014/chart" uri="{C3380CC4-5D6E-409C-BE32-E72D297353CC}">
              <c16:uniqueId val="{00000000-8493-4DC0-8EA6-9138F5475C69}"/>
            </c:ext>
          </c:extLst>
        </c:ser>
        <c:dLbls>
          <c:dLblPos val="outEnd"/>
          <c:showLegendKey val="0"/>
          <c:showVal val="1"/>
          <c:showCatName val="0"/>
          <c:showSerName val="0"/>
          <c:showPercent val="0"/>
          <c:showBubbleSize val="0"/>
        </c:dLbls>
        <c:gapWidth val="100"/>
        <c:overlap val="-24"/>
        <c:axId val="571490784"/>
        <c:axId val="571489824"/>
      </c:barChart>
      <c:catAx>
        <c:axId val="5714907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489824"/>
        <c:crosses val="autoZero"/>
        <c:auto val="1"/>
        <c:lblAlgn val="ctr"/>
        <c:lblOffset val="100"/>
        <c:noMultiLvlLbl val="0"/>
      </c:catAx>
      <c:valAx>
        <c:axId val="571489824"/>
        <c:scaling>
          <c:orientation val="minMax"/>
        </c:scaling>
        <c:delete val="1"/>
        <c:axPos val="l"/>
        <c:numFmt formatCode="General" sourceLinked="1"/>
        <c:majorTickMark val="none"/>
        <c:minorTickMark val="none"/>
        <c:tickLblPos val="nextTo"/>
        <c:crossAx val="571490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[Vijay Sales.xlsm]Air COnditioner!PivotTable4</c:name>
    <c:fmtId val="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'Air COnditioner'!$B$3:$B$4</c:f>
              <c:strCache>
                <c:ptCount val="1"/>
                <c:pt idx="0">
                  <c:v>Air Conditioner</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'Air COnditioner'!$A$5:$A$7</c:f>
              <c:strCache>
                <c:ptCount val="3"/>
                <c:pt idx="0">
                  <c:v>Altercon. C</c:v>
                </c:pt>
                <c:pt idx="1">
                  <c:v>Dinnel. M</c:v>
                </c:pt>
                <c:pt idx="2">
                  <c:v>Pursly. U</c:v>
                </c:pt>
              </c:strCache>
            </c:strRef>
          </c:cat>
          <c:val>
            <c:numRef>
              <c:f>'Air COnditioner'!$B$5:$B$7</c:f>
              <c:numCache>
                <c:formatCode>General</c:formatCode>
                <c:ptCount val="3"/>
                <c:pt idx="0">
                  <c:v>1528.8</c:v>
                </c:pt>
                <c:pt idx="1">
                  <c:v>1100</c:v>
                </c:pt>
                <c:pt idx="2">
                  <c:v>1250</c:v>
                </c:pt>
              </c:numCache>
            </c:numRef>
          </c:val>
          <c:extLst>
            <c:ext xmlns:c16="http://schemas.microsoft.com/office/drawing/2014/chart" uri="{C3380CC4-5D6E-409C-BE32-E72D297353CC}">
              <c16:uniqueId val="{00000001-3F6C-46AA-88C0-6D686573778B}"/>
            </c:ext>
          </c:extLst>
        </c:ser>
        <c:dLbls>
          <c:dLblPos val="outEnd"/>
          <c:showLegendKey val="0"/>
          <c:showVal val="1"/>
          <c:showCatName val="0"/>
          <c:showSerName val="0"/>
          <c:showPercent val="0"/>
          <c:showBubbleSize val="0"/>
        </c:dLbls>
        <c:gapWidth val="100"/>
        <c:overlap val="-24"/>
        <c:axId val="508594368"/>
        <c:axId val="508594848"/>
      </c:barChart>
      <c:catAx>
        <c:axId val="5085943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594848"/>
        <c:crosses val="autoZero"/>
        <c:auto val="1"/>
        <c:lblAlgn val="ctr"/>
        <c:lblOffset val="100"/>
        <c:noMultiLvlLbl val="0"/>
      </c:catAx>
      <c:valAx>
        <c:axId val="508594848"/>
        <c:scaling>
          <c:orientation val="minMax"/>
        </c:scaling>
        <c:delete val="1"/>
        <c:axPos val="l"/>
        <c:numFmt formatCode="General" sourceLinked="1"/>
        <c:majorTickMark val="none"/>
        <c:minorTickMark val="none"/>
        <c:tickLblPos val="nextTo"/>
        <c:crossAx val="508594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[Vijay Sales.xlsm]Sales by Product!PivotTable1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Product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0.18403324432556609"/>
              <c:y val="-0.1216390470919043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hade val="58000"/>
                  <a:satMod val="103000"/>
                  <a:lumMod val="102000"/>
                  <a:tint val="94000"/>
                </a:schemeClr>
              </a:gs>
              <a:gs pos="50000">
                <a:schemeClr val="accent6">
                  <a:shade val="58000"/>
                  <a:satMod val="110000"/>
                  <a:lumMod val="100000"/>
                  <a:shade val="100000"/>
                </a:schemeClr>
              </a:gs>
              <a:gs pos="100000">
                <a:schemeClr val="accent6">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8"/>
        <c:spPr>
          <a:gradFill rotWithShape="1">
            <a:gsLst>
              <a:gs pos="0">
                <a:schemeClr val="accent6">
                  <a:tint val="58000"/>
                  <a:satMod val="103000"/>
                  <a:lumMod val="102000"/>
                  <a:tint val="94000"/>
                </a:schemeClr>
              </a:gs>
              <a:gs pos="50000">
                <a:schemeClr val="accent6">
                  <a:tint val="58000"/>
                  <a:satMod val="110000"/>
                  <a:lumMod val="100000"/>
                  <a:shade val="100000"/>
                </a:schemeClr>
              </a:gs>
              <a:gs pos="100000">
                <a:schemeClr val="accent6">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9"/>
        <c:spPr>
          <a:gradFill rotWithShape="1">
            <a:gsLst>
              <a:gs pos="0">
                <a:schemeClr val="accent6">
                  <a:tint val="86000"/>
                  <a:satMod val="103000"/>
                  <a:lumMod val="102000"/>
                  <a:tint val="94000"/>
                </a:schemeClr>
              </a:gs>
              <a:gs pos="50000">
                <a:schemeClr val="accent6">
                  <a:tint val="86000"/>
                  <a:satMod val="110000"/>
                  <a:lumMod val="100000"/>
                  <a:shade val="100000"/>
                </a:schemeClr>
              </a:gs>
              <a:gs pos="100000">
                <a:schemeClr val="accent6">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0"/>
        <c:spPr>
          <a:gradFill rotWithShape="1">
            <a:gsLst>
              <a:gs pos="0">
                <a:schemeClr val="accent6">
                  <a:shade val="86000"/>
                  <a:satMod val="103000"/>
                  <a:lumMod val="102000"/>
                  <a:tint val="94000"/>
                </a:schemeClr>
              </a:gs>
              <a:gs pos="50000">
                <a:schemeClr val="accent6">
                  <a:shade val="86000"/>
                  <a:satMod val="110000"/>
                  <a:lumMod val="100000"/>
                  <a:shade val="100000"/>
                </a:schemeClr>
              </a:gs>
              <a:gs pos="100000">
                <a:schemeClr val="accent6">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extLst>
        </c:dLbl>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'Sales by Product'!$B$3</c:f>
              <c:strCache>
                <c:ptCount val="1"/>
                <c:pt idx="0">
                  <c:v>Total</c:v>
                </c:pt>
              </c:strCache>
            </c:strRef>
          </c:tx>
          <c:dPt>
            <c:idx val="0"/>
            <c:bubble3D val="0"/>
            <c:spPr>
              <a:gradFill rotWithShape="1">
                <a:gsLst>
                  <a:gs pos="0">
                    <a:schemeClr val="accent6">
                      <a:shade val="58000"/>
                      <a:satMod val="103000"/>
                      <a:lumMod val="102000"/>
                      <a:tint val="94000"/>
                    </a:schemeClr>
                  </a:gs>
                  <a:gs pos="50000">
                    <a:schemeClr val="accent6">
                      <a:shade val="58000"/>
                      <a:satMod val="110000"/>
                      <a:lumMod val="100000"/>
                      <a:shade val="100000"/>
                    </a:schemeClr>
                  </a:gs>
                  <a:gs pos="100000">
                    <a:schemeClr val="accent6">
                      <a:shade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6">
                      <a:shade val="86000"/>
                      <a:satMod val="103000"/>
                      <a:lumMod val="102000"/>
                      <a:tint val="94000"/>
                    </a:schemeClr>
                  </a:gs>
                  <a:gs pos="50000">
                    <a:schemeClr val="accent6">
                      <a:shade val="86000"/>
                      <a:satMod val="110000"/>
                      <a:lumMod val="100000"/>
                      <a:shade val="100000"/>
                    </a:schemeClr>
                  </a:gs>
                  <a:gs pos="100000">
                    <a:schemeClr val="accent6">
                      <a:shade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6">
                      <a:tint val="86000"/>
                      <a:satMod val="103000"/>
                      <a:lumMod val="102000"/>
                      <a:tint val="94000"/>
                    </a:schemeClr>
                  </a:gs>
                  <a:gs pos="50000">
                    <a:schemeClr val="accent6">
                      <a:tint val="86000"/>
                      <a:satMod val="110000"/>
                      <a:lumMod val="100000"/>
                      <a:shade val="100000"/>
                    </a:schemeClr>
                  </a:gs>
                  <a:gs pos="100000">
                    <a:schemeClr val="accent6">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6">
                      <a:tint val="58000"/>
                      <a:satMod val="103000"/>
                      <a:lumMod val="102000"/>
                      <a:tint val="94000"/>
                    </a:schemeClr>
                  </a:gs>
                  <a:gs pos="50000">
                    <a:schemeClr val="accent6">
                      <a:tint val="58000"/>
                      <a:satMod val="110000"/>
                      <a:lumMod val="100000"/>
                      <a:shade val="100000"/>
                    </a:schemeClr>
                  </a:gs>
                  <a:gs pos="100000">
                    <a:schemeClr val="accent6">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 by Product'!$A$4:$A$7</c:f>
              <c:strCache>
                <c:ptCount val="4"/>
                <c:pt idx="0">
                  <c:v>Refrigerator</c:v>
                </c:pt>
                <c:pt idx="1">
                  <c:v>Washing Machine</c:v>
                </c:pt>
                <c:pt idx="2">
                  <c:v>Air Conditioner</c:v>
                </c:pt>
                <c:pt idx="3">
                  <c:v>Television</c:v>
                </c:pt>
              </c:strCache>
            </c:strRef>
          </c:cat>
          <c:val>
            <c:numRef>
              <c:f>'Sales by Product'!$B$4:$B$7</c:f>
              <c:numCache>
                <c:formatCode>General</c:formatCode>
                <c:ptCount val="4"/>
                <c:pt idx="0">
                  <c:v>10894.6</c:v>
                </c:pt>
                <c:pt idx="1">
                  <c:v>9191.4499999999989</c:v>
                </c:pt>
                <c:pt idx="2">
                  <c:v>8143.6</c:v>
                </c:pt>
                <c:pt idx="3">
                  <c:v>7131.4</c:v>
                </c:pt>
              </c:numCache>
            </c:numRef>
          </c:val>
          <c:extLst>
            <c:ext xmlns:c16="http://schemas.microsoft.com/office/drawing/2014/chart" uri="{C3380CC4-5D6E-409C-BE32-E72D297353CC}">
              <c16:uniqueId val="{00000008-A4CF-4E34-AC54-DDE0B36E1155}"/>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[Vijay Sales.xlsm]Sales by Branch!PivotTable3</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Branch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eparator> </c:separator>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Branch'!$B$3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'Sales by Branch'!$A$4:$A$7</c:f>
              <c:strCache>
                <c:ptCount val="4"/>
                <c:pt idx="0">
                  <c:v>West Coast</c:v>
                </c:pt>
                <c:pt idx="1">
                  <c:v>South Coast</c:v>
                </c:pt>
                <c:pt idx="2">
                  <c:v>North Coast</c:v>
                </c:pt>
                <c:pt idx="3">
                  <c:v>East Coast</c:v>
                </c:pt>
              </c:strCache>
            </c:strRef>
          </c:cat>
          <c:val>
            <c:numRef>
              <c:f>'Sales by Branch'!$B$4:$B$7</c:f>
              <c:numCache>
                <c:formatCode>0.00</c:formatCode>
                <c:ptCount val="4"/>
                <c:pt idx="0">
                  <c:v>11031.3</c:v>
                </c:pt>
                <c:pt idx="1">
                  <c:v>8266.7999999999993</c:v>
                </c:pt>
                <c:pt idx="2">
                  <c:v>7955.4</c:v>
                </c:pt>
                <c:pt idx="3">
                  <c:v>8107.55</c:v>
                </c:pt>
              </c:numCache>
            </c:numRef>
          </c:val>
          <c:extLst>
            <c:ext xmlns:c16="http://schemas.microsoft.com/office/drawing/2014/chart" uri="{C3380CC4-5D6E-409C-BE32-E72D297353CC}">
              <c16:uniqueId val="{00000004-60A7-49BE-B5B8-EC020FD13966}"/>
            </c:ext>
          </c:extLst>
        </c:ser>
        <c:dLbls>
          <c:dLblPos val="outEnd"/>
          <c:showLegendKey val="0"/>
          <c:showVal val="1"/>
          <c:showCatName val="0"/>
          <c:showSerName val="0"/>
          <c:showPercent val="0"/>
          <c:showBubbleSize val="0"/>
        </c:dLbls>
        <c:gapWidth val="100"/>
        <c:overlap val="-24"/>
        <c:axId val="1539925392"/>
        <c:axId val="1539933552"/>
      </c:barChart>
      <c:catAx>
        <c:axId val="15399253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9933552"/>
        <c:crosses val="autoZero"/>
        <c:auto val="1"/>
        <c:lblAlgn val="ctr"/>
        <c:lblOffset val="100"/>
        <c:noMultiLvlLbl val="0"/>
      </c:catAx>
      <c:valAx>
        <c:axId val="1539933552"/>
        <c:scaling>
          <c:orientation val="minMax"/>
        </c:scaling>
        <c:delete val="1"/>
        <c:axPos val="l"/>
        <c:numFmt formatCode="0.00" sourceLinked="1"/>
        <c:majorTickMark val="none"/>
        <c:minorTickMark val="none"/>
        <c:tickLblPos val="nextTo"/>
        <c:crossAx val="153992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[Vijay Sales.xlsm]Top 5 Sales person!PivotTable2</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Sales person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 Sales person'!$B$3</c:f>
              <c:strCache>
                <c:ptCount val="1"/>
                <c:pt idx="0">
                  <c:v>Total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'Top 5 Sales person'!$A$4:$A$8</c:f>
              <c:strCache>
                <c:ptCount val="5"/>
                <c:pt idx="0">
                  <c:v>Numkin. M</c:v>
                </c:pt>
                <c:pt idx="1">
                  <c:v>Bonders. P</c:v>
                </c:pt>
                <c:pt idx="2">
                  <c:v>Stanly. N</c:v>
                </c:pt>
                <c:pt idx="3">
                  <c:v>Altercon. C</c:v>
                </c:pt>
                <c:pt idx="4">
                  <c:v>Toonly. S</c:v>
                </c:pt>
              </c:strCache>
            </c:strRef>
          </c:cat>
          <c:val>
            <c:numRef>
              <c:f>'Top 5 Sales person'!$B$4:$B$8</c:f>
              <c:numCache>
                <c:formatCode>General</c:formatCode>
                <c:ptCount val="5"/>
                <c:pt idx="0">
                  <c:v>3503</c:v>
                </c:pt>
                <c:pt idx="1">
                  <c:v>3032.8999999999996</c:v>
                </c:pt>
                <c:pt idx="2">
                  <c:v>2327</c:v>
                </c:pt>
                <c:pt idx="3">
                  <c:v>1778.8</c:v>
                </c:pt>
                <c:pt idx="4">
                  <c:v>1777.05</c:v>
                </c:pt>
              </c:numCache>
            </c:numRef>
          </c:val>
          <c:extLst>
            <c:ext xmlns:c16="http://schemas.microsoft.com/office/drawing/2014/chart" uri="{C3380CC4-5D6E-409C-BE32-E72D297353CC}">
              <c16:uniqueId val="{00000000-D719-4ACD-B822-AA772AAA2B7C}"/>
            </c:ext>
          </c:extLst>
        </c:ser>
        <c:dLbls>
          <c:dLblPos val="outEnd"/>
          <c:showLegendKey val="0"/>
          <c:showVal val="1"/>
          <c:showCatName val="0"/>
          <c:showSerName val="0"/>
          <c:showPercent val="0"/>
          <c:showBubbleSize val="0"/>
        </c:dLbls>
        <c:gapWidth val="100"/>
        <c:overlap val="-24"/>
        <c:axId val="564556688"/>
        <c:axId val="564558608"/>
      </c:barChart>
      <c:catAx>
        <c:axId val="564556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558608"/>
        <c:crosses val="autoZero"/>
        <c:auto val="1"/>
        <c:lblAlgn val="ctr"/>
        <c:lblOffset val="100"/>
        <c:noMultiLvlLbl val="0"/>
      </c:catAx>
      <c:valAx>
        <c:axId val="564558608"/>
        <c:scaling>
          <c:orientation val="minMax"/>
        </c:scaling>
        <c:delete val="1"/>
        <c:axPos val="l"/>
        <c:numFmt formatCode="General" sourceLinked="1"/>
        <c:majorTickMark val="none"/>
        <c:minorTickMark val="none"/>
        <c:tickLblPos val="nextTo"/>
        <c:crossAx val="56455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Sales.xlsm]Sales by Product!PivotTable1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Product</a:t>
            </a:r>
          </a:p>
        </c:rich>
      </c:tx>
      <c:layout>
        <c:manualLayout>
          <c:xMode val="edge"/>
          <c:yMode val="edge"/>
          <c:x val="0.4480555555555556"/>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Product'!$B$3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Product'!$A$4:$A$7</c:f>
              <c:strCache>
                <c:ptCount val="4"/>
                <c:pt idx="0">
                  <c:v>Refrigerator</c:v>
                </c:pt>
                <c:pt idx="1">
                  <c:v>Washing Machine</c:v>
                </c:pt>
                <c:pt idx="2">
                  <c:v>Air Conditioner</c:v>
                </c:pt>
                <c:pt idx="3">
                  <c:v>Television</c:v>
                </c:pt>
              </c:strCache>
            </c:strRef>
          </c:cat>
          <c:val>
            <c:numRef>
              <c:f>'Sales by Product'!$B$4:$B$7</c:f>
              <c:numCache>
                <c:formatCode>General</c:formatCode>
                <c:ptCount val="4"/>
                <c:pt idx="0">
                  <c:v>10894.6</c:v>
                </c:pt>
                <c:pt idx="1">
                  <c:v>9191.4499999999989</c:v>
                </c:pt>
                <c:pt idx="2">
                  <c:v>8143.6</c:v>
                </c:pt>
                <c:pt idx="3">
                  <c:v>7131.4</c:v>
                </c:pt>
              </c:numCache>
            </c:numRef>
          </c:val>
          <c:extLst>
            <c:ext xmlns:c16="http://schemas.microsoft.com/office/drawing/2014/chart" uri="{C3380CC4-5D6E-409C-BE32-E72D297353CC}">
              <c16:uniqueId val="{00000000-C16B-4EE2-8D8D-F402CD336BDE}"/>
            </c:ext>
          </c:extLst>
        </c:ser>
        <c:dLbls>
          <c:dLblPos val="outEnd"/>
          <c:showLegendKey val="0"/>
          <c:showVal val="1"/>
          <c:showCatName val="0"/>
          <c:showSerName val="0"/>
          <c:showPercent val="0"/>
          <c:showBubbleSize val="0"/>
        </c:dLbls>
        <c:gapWidth val="219"/>
        <c:overlap val="-27"/>
        <c:axId val="564561008"/>
        <c:axId val="564554288"/>
      </c:barChart>
      <c:catAx>
        <c:axId val="56456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54288"/>
        <c:crosses val="autoZero"/>
        <c:auto val="1"/>
        <c:lblAlgn val="ctr"/>
        <c:lblOffset val="100"/>
        <c:noMultiLvlLbl val="0"/>
      </c:catAx>
      <c:valAx>
        <c:axId val="564554288"/>
        <c:scaling>
          <c:orientation val="minMax"/>
        </c:scaling>
        <c:delete val="1"/>
        <c:axPos val="l"/>
        <c:numFmt formatCode="General" sourceLinked="1"/>
        <c:majorTickMark val="none"/>
        <c:minorTickMark val="none"/>
        <c:tickLblPos val="nextTo"/>
        <c:crossAx val="564561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Sales.xlsm]Top 5 Sales person!PivotTable2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Sales person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5 Sales person'!$B$3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Sales person'!$A$4:$A$8</c:f>
              <c:strCache>
                <c:ptCount val="5"/>
                <c:pt idx="0">
                  <c:v>Numkin. M</c:v>
                </c:pt>
                <c:pt idx="1">
                  <c:v>Bonders. P</c:v>
                </c:pt>
                <c:pt idx="2">
                  <c:v>Stanly. N</c:v>
                </c:pt>
                <c:pt idx="3">
                  <c:v>Altercon. C</c:v>
                </c:pt>
                <c:pt idx="4">
                  <c:v>Toonly. S</c:v>
                </c:pt>
              </c:strCache>
            </c:strRef>
          </c:cat>
          <c:val>
            <c:numRef>
              <c:f>'Top 5 Sales person'!$B$4:$B$8</c:f>
              <c:numCache>
                <c:formatCode>General</c:formatCode>
                <c:ptCount val="5"/>
                <c:pt idx="0">
                  <c:v>3503</c:v>
                </c:pt>
                <c:pt idx="1">
                  <c:v>3032.8999999999996</c:v>
                </c:pt>
                <c:pt idx="2">
                  <c:v>2327</c:v>
                </c:pt>
                <c:pt idx="3">
                  <c:v>1778.8</c:v>
                </c:pt>
                <c:pt idx="4">
                  <c:v>1777.05</c:v>
                </c:pt>
              </c:numCache>
            </c:numRef>
          </c:val>
          <c:extLst>
            <c:ext xmlns:c16="http://schemas.microsoft.com/office/drawing/2014/chart" uri="{C3380CC4-5D6E-409C-BE32-E72D297353CC}">
              <c16:uniqueId val="{00000000-A600-460F-8DF4-F18D275F6703}"/>
            </c:ext>
          </c:extLst>
        </c:ser>
        <c:dLbls>
          <c:dLblPos val="outEnd"/>
          <c:showLegendKey val="0"/>
          <c:showVal val="1"/>
          <c:showCatName val="0"/>
          <c:showSerName val="0"/>
          <c:showPercent val="0"/>
          <c:showBubbleSize val="0"/>
        </c:dLbls>
        <c:gapWidth val="182"/>
        <c:axId val="564556688"/>
        <c:axId val="564558608"/>
      </c:barChart>
      <c:catAx>
        <c:axId val="5645566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58608"/>
        <c:crosses val="autoZero"/>
        <c:auto val="1"/>
        <c:lblAlgn val="ctr"/>
        <c:lblOffset val="100"/>
        <c:noMultiLvlLbl val="0"/>
      </c:catAx>
      <c:valAx>
        <c:axId val="564558608"/>
        <c:scaling>
          <c:orientation val="minMax"/>
        </c:scaling>
        <c:delete val="1"/>
        <c:axPos val="l"/>
        <c:numFmt formatCode="General" sourceLinked="1"/>
        <c:majorTickMark val="none"/>
        <c:minorTickMark val="none"/>
        <c:tickLblPos val="nextTo"/>
        <c:crossAx val="56455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Sales.xlsm]Sales by Branch!PivotTable3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 Branch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Branch'!$B$3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Branch'!$A$4:$A$7</c:f>
              <c:strCache>
                <c:ptCount val="4"/>
                <c:pt idx="0">
                  <c:v>West Coast</c:v>
                </c:pt>
                <c:pt idx="1">
                  <c:v>South Coast</c:v>
                </c:pt>
                <c:pt idx="2">
                  <c:v>North Coast</c:v>
                </c:pt>
                <c:pt idx="3">
                  <c:v>East Coast</c:v>
                </c:pt>
              </c:strCache>
            </c:strRef>
          </c:cat>
          <c:val>
            <c:numRef>
              <c:f>'Sales by Branch'!$B$4:$B$7</c:f>
              <c:numCache>
                <c:formatCode>0.00</c:formatCode>
                <c:ptCount val="4"/>
                <c:pt idx="0">
                  <c:v>11031.3</c:v>
                </c:pt>
                <c:pt idx="1">
                  <c:v>8266.7999999999993</c:v>
                </c:pt>
                <c:pt idx="2">
                  <c:v>7955.4</c:v>
                </c:pt>
                <c:pt idx="3">
                  <c:v>8107.55</c:v>
                </c:pt>
              </c:numCache>
            </c:numRef>
          </c:val>
          <c:extLst>
            <c:ext xmlns:c16="http://schemas.microsoft.com/office/drawing/2014/chart" uri="{C3380CC4-5D6E-409C-BE32-E72D297353CC}">
              <c16:uniqueId val="{00000000-4BB0-493A-B252-F3E713823C8A}"/>
            </c:ext>
          </c:extLst>
        </c:ser>
        <c:dLbls>
          <c:dLblPos val="outEnd"/>
          <c:showLegendKey val="0"/>
          <c:showVal val="1"/>
          <c:showCatName val="0"/>
          <c:showSerName val="0"/>
          <c:showPercent val="0"/>
          <c:showBubbleSize val="0"/>
        </c:dLbls>
        <c:gapWidth val="219"/>
        <c:overlap val="-27"/>
        <c:axId val="521414448"/>
        <c:axId val="521420688"/>
      </c:barChart>
      <c:catAx>
        <c:axId val="521414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420688"/>
        <c:crosses val="autoZero"/>
        <c:auto val="1"/>
        <c:lblAlgn val="ctr"/>
        <c:lblOffset val="100"/>
        <c:noMultiLvlLbl val="0"/>
      </c:catAx>
      <c:valAx>
        <c:axId val="521420688"/>
        <c:scaling>
          <c:orientation val="minMax"/>
        </c:scaling>
        <c:delete val="1"/>
        <c:axPos val="l"/>
        <c:numFmt formatCode="0.00" sourceLinked="1"/>
        <c:majorTickMark val="none"/>
        <c:minorTickMark val="none"/>
        <c:tickLblPos val="nextTo"/>
        <c:crossAx val="521414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Sales.xlsm]Air COnditioner!PivotTable4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'Air COnditioner'!$B$3:$B$4</c:f>
              <c:strCache>
                <c:ptCount val="1"/>
                <c:pt idx="0">
                  <c:v>Air Conditioner</c:v>
                </c:pt>
              </c:strCache>
            </c:strRef>
          </c:tx>
          <c:spPr>
            <a:solidFill>
              <a:schemeClr val="accent1"/>
            </a:solidFill>
            <a:ln>
              <a:noFill/>
            </a:ln>
            <a:effectLst/>
          </c:spPr>
          <c:invertIfNegative val="0"/>
          <c:cat>
            <c:strRef>
              <c:f>'Air COnditioner'!$A$5:$A$7</c:f>
              <c:strCache>
                <c:ptCount val="3"/>
                <c:pt idx="0">
                  <c:v>Altercon. C</c:v>
                </c:pt>
                <c:pt idx="1">
                  <c:v>Dinnel. M</c:v>
                </c:pt>
                <c:pt idx="2">
                  <c:v>Pursly. U</c:v>
                </c:pt>
              </c:strCache>
            </c:strRef>
          </c:cat>
          <c:val>
            <c:numRef>
              <c:f>'Air COnditioner'!$B$5:$B$7</c:f>
              <c:numCache>
                <c:formatCode>General</c:formatCode>
                <c:ptCount val="3"/>
                <c:pt idx="0">
                  <c:v>1528.8</c:v>
                </c:pt>
                <c:pt idx="1">
                  <c:v>1100</c:v>
                </c:pt>
                <c:pt idx="2">
                  <c:v>1250</c:v>
                </c:pt>
              </c:numCache>
            </c:numRef>
          </c:val>
          <c:extLst>
            <c:ext xmlns:c16="http://schemas.microsoft.com/office/drawing/2014/chart" uri="{C3380CC4-5D6E-409C-BE32-E72D297353CC}">
              <c16:uniqueId val="{00000002-D558-4C7A-856F-590C09C88D53}"/>
            </c:ext>
          </c:extLst>
        </c:ser>
        <c:dLbls>
          <c:showLegendKey val="0"/>
          <c:showVal val="0"/>
          <c:showCatName val="0"/>
          <c:showSerName val="0"/>
          <c:showPercent val="0"/>
          <c:showBubbleSize val="0"/>
        </c:dLbls>
        <c:gapWidth val="219"/>
        <c:overlap val="-27"/>
        <c:axId val="508594368"/>
        <c:axId val="508594848"/>
      </c:barChart>
      <c:catAx>
        <c:axId val="508594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594848"/>
        <c:crosses val="autoZero"/>
        <c:auto val="1"/>
        <c:lblAlgn val="ctr"/>
        <c:lblOffset val="100"/>
        <c:noMultiLvlLbl val="0"/>
      </c:catAx>
      <c:valAx>
        <c:axId val="508594848"/>
        <c:scaling>
          <c:orientation val="minMax"/>
        </c:scaling>
        <c:delete val="1"/>
        <c:axPos val="l"/>
        <c:numFmt formatCode="General" sourceLinked="1"/>
        <c:majorTickMark val="none"/>
        <c:minorTickMark val="none"/>
        <c:tickLblPos val="nextTo"/>
        <c:crossAx val="50859436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Sales.xlsm]Refrigerator!PivotTable5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73153899240856E-2"/>
          <c:y val="7.407407407407407E-2"/>
          <c:w val="0.93926846100759143"/>
          <c:h val="0.8416746864975212"/>
        </c:manualLayout>
      </c:layout>
      <c:barChart>
        <c:barDir val="col"/>
        <c:grouping val="clustered"/>
        <c:varyColors val="0"/>
        <c:ser>
          <c:idx val="0"/>
          <c:order val="0"/>
          <c:tx>
            <c:strRef>
              <c:f>Refrigerator!$B$3:$B$4</c:f>
              <c:strCache>
                <c:ptCount val="1"/>
                <c:pt idx="0">
                  <c:v>Refrigerator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Refrigerator!$A$5:$A$7</c:f>
              <c:strCache>
                <c:ptCount val="3"/>
                <c:pt idx="0">
                  <c:v>Atterson. P</c:v>
                </c:pt>
                <c:pt idx="1">
                  <c:v>Bonders. P</c:v>
                </c:pt>
                <c:pt idx="2">
                  <c:v>Stanly. N</c:v>
                </c:pt>
              </c:strCache>
            </c:strRef>
          </c:cat>
          <c:val>
            <c:numRef>
              <c:f>Refrigerator!$B$5:$B$7</c:f>
              <c:numCache>
                <c:formatCode>General</c:formatCode>
                <c:ptCount val="3"/>
                <c:pt idx="0">
                  <c:v>1560</c:v>
                </c:pt>
                <c:pt idx="1">
                  <c:v>1440</c:v>
                </c:pt>
                <c:pt idx="2">
                  <c:v>2088</c:v>
                </c:pt>
              </c:numCache>
            </c:numRef>
          </c:val>
          <c:extLst>
            <c:ext xmlns:c16="http://schemas.microsoft.com/office/drawing/2014/chart" uri="{C3380CC4-5D6E-409C-BE32-E72D297353CC}">
              <c16:uniqueId val="{00000000-FF4D-49ED-BC76-1C6598843912}"/>
            </c:ext>
          </c:extLst>
        </c:ser>
        <c:dLbls>
          <c:dLblPos val="outEnd"/>
          <c:showLegendKey val="0"/>
          <c:showVal val="1"/>
          <c:showCatName val="0"/>
          <c:showSerName val="0"/>
          <c:showPercent val="0"/>
          <c:showBubbleSize val="0"/>
        </c:dLbls>
        <c:gapWidth val="219"/>
        <c:overlap val="-27"/>
        <c:axId val="571490784"/>
        <c:axId val="571489824"/>
      </c:barChart>
      <c:catAx>
        <c:axId val="571490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489824"/>
        <c:crosses val="autoZero"/>
        <c:auto val="1"/>
        <c:lblAlgn val="ctr"/>
        <c:lblOffset val="100"/>
        <c:noMultiLvlLbl val="0"/>
      </c:catAx>
      <c:valAx>
        <c:axId val="571489824"/>
        <c:scaling>
          <c:orientation val="minMax"/>
        </c:scaling>
        <c:delete val="1"/>
        <c:axPos val="l"/>
        <c:numFmt formatCode="General" sourceLinked="1"/>
        <c:majorTickMark val="none"/>
        <c:minorTickMark val="none"/>
        <c:tickLblPos val="nextTo"/>
        <c:crossAx val="571490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Sales.xlsm]Television!PivotTable6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111111111111109E-2"/>
          <c:y val="7.407407407407407E-2"/>
          <c:w val="0.93888888888888888"/>
          <c:h val="0.8416746864975212"/>
        </c:manualLayout>
      </c:layout>
      <c:barChart>
        <c:barDir val="col"/>
        <c:grouping val="clustered"/>
        <c:varyColors val="0"/>
        <c:ser>
          <c:idx val="0"/>
          <c:order val="0"/>
          <c:tx>
            <c:strRef>
              <c:f>Television!$B$3:$B$4</c:f>
              <c:strCache>
                <c:ptCount val="1"/>
                <c:pt idx="0">
                  <c:v>Television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Television!$A$5:$A$7</c:f>
              <c:strCache>
                <c:ptCount val="3"/>
                <c:pt idx="0">
                  <c:v>Bonders. P</c:v>
                </c:pt>
                <c:pt idx="1">
                  <c:v>Ilknis. K</c:v>
                </c:pt>
                <c:pt idx="2">
                  <c:v>Moodley. L</c:v>
                </c:pt>
              </c:strCache>
            </c:strRef>
          </c:cat>
          <c:val>
            <c:numRef>
              <c:f>Television!$B$5:$B$7</c:f>
              <c:numCache>
                <c:formatCode>General</c:formatCode>
                <c:ptCount val="3"/>
                <c:pt idx="0">
                  <c:v>1280</c:v>
                </c:pt>
                <c:pt idx="1">
                  <c:v>1060</c:v>
                </c:pt>
                <c:pt idx="2">
                  <c:v>912</c:v>
                </c:pt>
              </c:numCache>
            </c:numRef>
          </c:val>
          <c:extLst>
            <c:ext xmlns:c16="http://schemas.microsoft.com/office/drawing/2014/chart" uri="{C3380CC4-5D6E-409C-BE32-E72D297353CC}">
              <c16:uniqueId val="{00000005-CE65-493C-9102-1E74822B44D6}"/>
            </c:ext>
          </c:extLst>
        </c:ser>
        <c:dLbls>
          <c:dLblPos val="outEnd"/>
          <c:showLegendKey val="0"/>
          <c:showVal val="1"/>
          <c:showCatName val="0"/>
          <c:showSerName val="0"/>
          <c:showPercent val="0"/>
          <c:showBubbleSize val="0"/>
        </c:dLbls>
        <c:gapWidth val="219"/>
        <c:overlap val="-27"/>
        <c:axId val="564565328"/>
        <c:axId val="564556208"/>
      </c:barChart>
      <c:catAx>
        <c:axId val="564565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56208"/>
        <c:crosses val="autoZero"/>
        <c:auto val="1"/>
        <c:lblAlgn val="ctr"/>
        <c:lblOffset val="100"/>
        <c:noMultiLvlLbl val="0"/>
      </c:catAx>
      <c:valAx>
        <c:axId val="564556208"/>
        <c:scaling>
          <c:orientation val="minMax"/>
        </c:scaling>
        <c:delete val="1"/>
        <c:axPos val="l"/>
        <c:numFmt formatCode="General" sourceLinked="1"/>
        <c:majorTickMark val="none"/>
        <c:minorTickMark val="none"/>
        <c:tickLblPos val="nextTo"/>
        <c:crossAx val="564565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[Vijay Sales.xlsm]Wasing Machine!PivotTable7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'Wasing Machine'!$B$3:$B$4</c:f>
              <c:strCache>
                <c:ptCount val="1"/>
                <c:pt idx="0">
                  <c:v>Washing Machine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'Wasing Machine'!$A$5:$A$7</c:f>
              <c:strCache>
                <c:ptCount val="3"/>
                <c:pt idx="0">
                  <c:v>Connely. K</c:v>
                </c:pt>
                <c:pt idx="1">
                  <c:v>Numkin. M</c:v>
                </c:pt>
                <c:pt idx="2">
                  <c:v>Toonly. S</c:v>
                </c:pt>
              </c:strCache>
            </c:strRef>
          </c:cat>
          <c:val>
            <c:numRef>
              <c:f>'Wasing Machine'!$B$5:$B$7</c:f>
              <c:numCache>
                <c:formatCode>General</c:formatCode>
                <c:ptCount val="3"/>
                <c:pt idx="0">
                  <c:v>835.2</c:v>
                </c:pt>
                <c:pt idx="1">
                  <c:v>3125</c:v>
                </c:pt>
                <c:pt idx="2">
                  <c:v>1093.05</c:v>
                </c:pt>
              </c:numCache>
            </c:numRef>
          </c:val>
          <c:extLst>
            <c:ext xmlns:c16="http://schemas.microsoft.com/office/drawing/2014/chart" uri="{C3380CC4-5D6E-409C-BE32-E72D297353CC}">
              <c16:uniqueId val="{00000000-64BB-4FDF-9BEA-058B6688C4CD}"/>
            </c:ext>
          </c:extLst>
        </c:ser>
        <c:dLbls>
          <c:dLblPos val="outEnd"/>
          <c:showLegendKey val="0"/>
          <c:showVal val="1"/>
          <c:showCatName val="0"/>
          <c:showSerName val="0"/>
          <c:showPercent val="0"/>
          <c:showBubbleSize val="0"/>
        </c:dLbls>
        <c:gapWidth val="219"/>
        <c:overlap val="-27"/>
        <c:axId val="564562448"/>
        <c:axId val="564558128"/>
      </c:barChart>
      <c:catAx>
        <c:axId val="56456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558128"/>
        <c:crosses val="autoZero"/>
        <c:auto val="1"/>
        <c:lblAlgn val="ctr"/>
        <c:lblOffset val="100"/>
        <c:noMultiLvlLbl val="0"/>
      </c:catAx>
      <c:valAx>
        <c:axId val="564558128"/>
        <c:scaling>
          <c:orientation val="minMax"/>
        </c:scaling>
        <c:delete val="1"/>
        <c:axPos val="l"/>
        <c:numFmt formatCode="General" sourceLinked="1"/>
        <c:majorTickMark val="none"/>
        <c:minorTickMark val="none"/>
        <c:tickLblPos val="nextTo"/>
        <c:crossAx val="564562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5</xdr:col>
      <xdr:colOff>495300</xdr:colOff>
      <xdr:row>2</xdr:row>
      <xdr:rowOff>295275</xdr:rowOff>
    </xdr:from>
    <xdr:to>
      <xdr:col>14</xdr:col>
      <xdr:colOff>466725</xdr:colOff>
      <xdr:row>23</xdr:row>
      <xdr:rowOff>142873</xdr:rowOff>
    </xdr:to>
    <xdr:grpSp>
      <xdr:nvGrpSpPr>
        <xdr:cNvPr id="13" name="Group 12">
          <a:extLst>
            <a:ext uri="{FF2B5EF4-FFF2-40B4-BE49-F238E27FC236}">
              <a16:creationId xmlns:a16="http://schemas.microsoft.com/office/drawing/2014/main" id="{37C57FCC-BE20-E20E-C36F-406F06E79396}"/>
            </a:ext>
          </a:extLst>
        </xdr:cNvPr>
        <xdr:cNvGrpSpPr/>
      </xdr:nvGrpSpPr>
      <xdr:grpSpPr>
        <a:xfrm>
          <a:off x="3543300" y="1333500"/>
          <a:ext cx="5457825" cy="4057648"/>
          <a:chOff x="5276851" y="1800224"/>
          <a:chExt cx="4491524" cy="3324976"/>
        </a:xfrm>
      </xdr:grpSpPr>
      <xdr:graphicFrame macro="">
        <xdr:nvGraphicFramePr>
          <xdr:cNvPr id="2" name="Chart 1">
            <a:extLst>
              <a:ext uri="{FF2B5EF4-FFF2-40B4-BE49-F238E27FC236}">
                <a16:creationId xmlns:a16="http://schemas.microsoft.com/office/drawing/2014/main" id="{CA8D9D8D-8E10-4612-94C5-E3BE8F700A6F}"/>
              </a:ext>
            </a:extLst>
          </xdr:cNvPr>
          <xdr:cNvGraphicFramePr>
            <a:graphicFrameLocks/>
          </xdr:cNvGraphicFramePr>
        </xdr:nvGraphicFramePr>
        <xdr:xfrm>
          <a:off x="7562850" y="3495675"/>
          <a:ext cx="2196000" cy="16200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a:extLst>
              <a:ext uri="{FF2B5EF4-FFF2-40B4-BE49-F238E27FC236}">
                <a16:creationId xmlns:a16="http://schemas.microsoft.com/office/drawing/2014/main" id="{2F2511F0-18BA-40A1-AF2B-BC2B731B1525}"/>
              </a:ext>
            </a:extLst>
          </xdr:cNvPr>
          <xdr:cNvGraphicFramePr>
            <a:graphicFrameLocks/>
          </xdr:cNvGraphicFramePr>
        </xdr:nvGraphicFramePr>
        <xdr:xfrm>
          <a:off x="5286375" y="1800225"/>
          <a:ext cx="2196000" cy="1620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DF5E2ACE-1EC7-414F-8E5A-CD3885D6B0CE}"/>
              </a:ext>
            </a:extLst>
          </xdr:cNvPr>
          <xdr:cNvGraphicFramePr>
            <a:graphicFrameLocks/>
          </xdr:cNvGraphicFramePr>
        </xdr:nvGraphicFramePr>
        <xdr:xfrm>
          <a:off x="7572375" y="1800224"/>
          <a:ext cx="2196000" cy="16200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Chart 4">
            <a:extLst>
              <a:ext uri="{FF2B5EF4-FFF2-40B4-BE49-F238E27FC236}">
                <a16:creationId xmlns:a16="http://schemas.microsoft.com/office/drawing/2014/main" id="{C084E1EB-DEC5-47BE-82D2-5789514C4191}"/>
              </a:ext>
            </a:extLst>
          </xdr:cNvPr>
          <xdr:cNvGraphicFramePr>
            <a:graphicFrameLocks/>
          </xdr:cNvGraphicFramePr>
        </xdr:nvGraphicFramePr>
        <xdr:xfrm>
          <a:off x="5276851" y="3505200"/>
          <a:ext cx="2196000" cy="16200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0</xdr:col>
      <xdr:colOff>123825</xdr:colOff>
      <xdr:row>2</xdr:row>
      <xdr:rowOff>314326</xdr:rowOff>
    </xdr:from>
    <xdr:to>
      <xdr:col>5</xdr:col>
      <xdr:colOff>400050</xdr:colOff>
      <xdr:row>23</xdr:row>
      <xdr:rowOff>161925</xdr:rowOff>
    </xdr:to>
    <xdr:grpSp>
      <xdr:nvGrpSpPr>
        <xdr:cNvPr id="14" name="Group 13">
          <a:extLst>
            <a:ext uri="{FF2B5EF4-FFF2-40B4-BE49-F238E27FC236}">
              <a16:creationId xmlns:a16="http://schemas.microsoft.com/office/drawing/2014/main" id="{CF64B147-55EA-51E6-9269-810A59E03CCF}"/>
            </a:ext>
          </a:extLst>
        </xdr:cNvPr>
        <xdr:cNvGrpSpPr/>
      </xdr:nvGrpSpPr>
      <xdr:grpSpPr>
        <a:xfrm>
          <a:off x="123825" y="1352551"/>
          <a:ext cx="3324225" cy="4057649"/>
          <a:chOff x="229374" y="1535067"/>
          <a:chExt cx="2890242" cy="4050005"/>
        </a:xfrm>
      </xdr:grpSpPr>
      <xdr:graphicFrame macro="">
        <xdr:nvGraphicFramePr>
          <xdr:cNvPr id="8" name="Chart 7">
            <a:extLst>
              <a:ext uri="{FF2B5EF4-FFF2-40B4-BE49-F238E27FC236}">
                <a16:creationId xmlns:a16="http://schemas.microsoft.com/office/drawing/2014/main" id="{D97563DC-FFA3-4A99-B1C4-33CD414AB56C}"/>
              </a:ext>
            </a:extLst>
          </xdr:cNvPr>
          <xdr:cNvGraphicFramePr>
            <a:graphicFrameLocks/>
          </xdr:cNvGraphicFramePr>
        </xdr:nvGraphicFramePr>
        <xdr:xfrm>
          <a:off x="229374" y="3605071"/>
          <a:ext cx="2880000" cy="198000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9" name="Chart 8">
            <a:extLst>
              <a:ext uri="{FF2B5EF4-FFF2-40B4-BE49-F238E27FC236}">
                <a16:creationId xmlns:a16="http://schemas.microsoft.com/office/drawing/2014/main" id="{F0D2478C-91BD-40F9-B97E-6247A713C637}"/>
              </a:ext>
            </a:extLst>
          </xdr:cNvPr>
          <xdr:cNvGraphicFramePr>
            <a:graphicFrameLocks/>
          </xdr:cNvGraphicFramePr>
        </xdr:nvGraphicFramePr>
        <xdr:xfrm>
          <a:off x="239616" y="1535067"/>
          <a:ext cx="2880000" cy="19800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17</xdr:col>
      <xdr:colOff>314324</xdr:colOff>
      <xdr:row>0</xdr:row>
      <xdr:rowOff>123825</xdr:rowOff>
    </xdr:from>
    <xdr:to>
      <xdr:col>21</xdr:col>
      <xdr:colOff>390300</xdr:colOff>
      <xdr:row>2</xdr:row>
      <xdr:rowOff>47625</xdr:rowOff>
    </xdr:to>
    <mc:AlternateContent xmlns:mc="http://schemas.openxmlformats.org/markup-compatibility/2006">
      <mc:Choice xmlns:a14="http://schemas.microsoft.com/office/drawing/2010/main" Requires="a14">
        <xdr:graphicFrame macro="">
          <xdr:nvGraphicFramePr>
            <xdr:cNvPr id="10" name="Branch">
              <a:extLst>
                <a:ext uri="{FF2B5EF4-FFF2-40B4-BE49-F238E27FC236}">
                  <a16:creationId xmlns:a16="http://schemas.microsoft.com/office/drawing/2014/main" id="{F87860F1-291E-5541-F83A-6CC8719921D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dr:sp macro="" textlink="">
          <xdr:nvSpPr>
            <xdr:cNvPr id="0" name=""/>
            <xdr:cNvSpPr>
              <a:spLocks noTextEdit="1"/>
            </xdr:cNvSpPr>
          </xdr:nvSpPr>
          <xdr:spPr>
            <a:xfrm>
              <a:off x="10677524" y="123825"/>
              <a:ext cx="20000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609599</xdr:colOff>
      <xdr:row>2</xdr:row>
      <xdr:rowOff>291478</xdr:rowOff>
    </xdr:from>
    <xdr:to>
      <xdr:col>21</xdr:col>
      <xdr:colOff>333374</xdr:colOff>
      <xdr:row>23</xdr:row>
      <xdr:rowOff>111661</xdr:rowOff>
    </xdr:to>
    <xdr:graphicFrame macro="">
      <xdr:nvGraphicFramePr>
        <xdr:cNvPr id="15" name="Chart 14">
          <a:extLst>
            <a:ext uri="{FF2B5EF4-FFF2-40B4-BE49-F238E27FC236}">
              <a16:creationId xmlns:a16="http://schemas.microsoft.com/office/drawing/2014/main" id="{0B213EF8-00A8-4EEF-9530-2A0A0E8028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390524</xdr:colOff>
      <xdr:row>1</xdr:row>
      <xdr:rowOff>361951</xdr:rowOff>
    </xdr:from>
    <xdr:to>
      <xdr:col>12</xdr:col>
      <xdr:colOff>238125</xdr:colOff>
      <xdr:row>2</xdr:row>
      <xdr:rowOff>28575</xdr:rowOff>
    </xdr:to>
    <xdr:sp macro="[0]!Reset" textlink="">
      <xdr:nvSpPr>
        <xdr:cNvPr id="16" name="Rectangle: Rounded Corners 15">
          <a:extLst>
            <a:ext uri="{FF2B5EF4-FFF2-40B4-BE49-F238E27FC236}">
              <a16:creationId xmlns:a16="http://schemas.microsoft.com/office/drawing/2014/main" id="{F465B871-C718-84A5-5C74-E8A47F93E1B0}"/>
            </a:ext>
          </a:extLst>
        </xdr:cNvPr>
        <xdr:cNvSpPr/>
      </xdr:nvSpPr>
      <xdr:spPr>
        <a:xfrm>
          <a:off x="6486524" y="733426"/>
          <a:ext cx="1066801" cy="333374"/>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b="0"/>
            <a:t>RESET</a:t>
          </a:r>
          <a:endParaRPr lang="en-US" sz="3600" b="0"/>
        </a:p>
      </xdr:txBody>
    </xdr:sp>
    <xdr:clientData/>
  </xdr:twoCellAnchor>
  <xdr:twoCellAnchor>
    <xdr:from>
      <xdr:col>10</xdr:col>
      <xdr:colOff>371882</xdr:colOff>
      <xdr:row>0</xdr:row>
      <xdr:rowOff>180974</xdr:rowOff>
    </xdr:from>
    <xdr:to>
      <xdr:col>12</xdr:col>
      <xdr:colOff>228600</xdr:colOff>
      <xdr:row>1</xdr:row>
      <xdr:rowOff>162876</xdr:rowOff>
    </xdr:to>
    <xdr:sp macro="[0]!Refresh" textlink="">
      <xdr:nvSpPr>
        <xdr:cNvPr id="17" name="Rectangle: Rounded Corners 16">
          <a:extLst>
            <a:ext uri="{FF2B5EF4-FFF2-40B4-BE49-F238E27FC236}">
              <a16:creationId xmlns:a16="http://schemas.microsoft.com/office/drawing/2014/main" id="{D7C3DBCE-EF93-4ADA-8EC2-20B3E8417557}"/>
            </a:ext>
          </a:extLst>
        </xdr:cNvPr>
        <xdr:cNvSpPr/>
      </xdr:nvSpPr>
      <xdr:spPr>
        <a:xfrm>
          <a:off x="6467882" y="180974"/>
          <a:ext cx="1075918" cy="35337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800"/>
            <a:t>REFRESH</a:t>
          </a:r>
          <a:endParaRPr lang="en-US" sz="2400"/>
        </a:p>
      </xdr:txBody>
    </xdr:sp>
    <xdr:clientData/>
  </xdr:twoCellAnchor>
  <xdr:twoCellAnchor>
    <xdr:from>
      <xdr:col>0</xdr:col>
      <xdr:colOff>285749</xdr:colOff>
      <xdr:row>0</xdr:row>
      <xdr:rowOff>171451</xdr:rowOff>
    </xdr:from>
    <xdr:to>
      <xdr:col>9</xdr:col>
      <xdr:colOff>523874</xdr:colOff>
      <xdr:row>2</xdr:row>
      <xdr:rowOff>9525</xdr:rowOff>
    </xdr:to>
    <xdr:sp macro="" textlink="">
      <xdr:nvSpPr>
        <xdr:cNvPr id="6" name="TextBox 5">
          <a:extLst>
            <a:ext uri="{FF2B5EF4-FFF2-40B4-BE49-F238E27FC236}">
              <a16:creationId xmlns:a16="http://schemas.microsoft.com/office/drawing/2014/main" id="{BA786A39-2E96-E321-ACFE-8453FF63294F}"/>
            </a:ext>
          </a:extLst>
        </xdr:cNvPr>
        <xdr:cNvSpPr txBox="1">
          <a:spLocks noChangeAspect="1"/>
        </xdr:cNvSpPr>
      </xdr:nvSpPr>
      <xdr:spPr>
        <a:xfrm>
          <a:off x="285749" y="171451"/>
          <a:ext cx="5724525" cy="876299"/>
        </a:xfrm>
        <a:prstGeom prst="rect">
          <a:avLst/>
        </a:prstGeom>
        <a:solidFill>
          <a:schemeClr val="tx2">
            <a:alpha val="50000"/>
          </a:schemeClr>
        </a:solidFill>
        <a:ln>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vert="horz" wrap="square" rtlCol="0" anchor="ctr" anchorCtr="0"/>
        <a:lstStyle/>
        <a:p>
          <a:pPr algn="ctr"/>
          <a:r>
            <a:rPr lang="en-US" sz="2800">
              <a:latin typeface="Arial Black" panose="020B0A04020102020204" pitchFamily="34" charset="0"/>
              <a:cs typeface="Aharoni" panose="02010803020104030203" pitchFamily="2" charset="-79"/>
            </a:rPr>
            <a:t>VIJAY</a:t>
          </a:r>
          <a:r>
            <a:rPr lang="en-US" sz="2800" baseline="0">
              <a:latin typeface="Arial Black" panose="020B0A04020102020204" pitchFamily="34" charset="0"/>
              <a:cs typeface="Aharoni" panose="02010803020104030203" pitchFamily="2" charset="-79"/>
            </a:rPr>
            <a:t> SALES</a:t>
          </a:r>
          <a:endParaRPr lang="en-US" sz="2800">
            <a:latin typeface="Arial Black" panose="020B0A04020102020204" pitchFamily="34" charset="0"/>
            <a:cs typeface="Aharoni" panose="02010803020104030203" pitchFamily="2" charset="-79"/>
          </a:endParaRPr>
        </a:p>
      </xdr:txBody>
    </xdr:sp>
    <xdr:clientData/>
  </xdr:twoCellAnchor>
  <xdr:twoCellAnchor>
    <xdr:from>
      <xdr:col>0</xdr:col>
      <xdr:colOff>66675</xdr:colOff>
      <xdr:row>2</xdr:row>
      <xdr:rowOff>148865</xdr:rowOff>
    </xdr:from>
    <xdr:to>
      <xdr:col>22</xdr:col>
      <xdr:colOff>495300</xdr:colOff>
      <xdr:row>2</xdr:row>
      <xdr:rowOff>192247</xdr:rowOff>
    </xdr:to>
    <xdr:cxnSp macro="">
      <xdr:nvCxnSpPr>
        <xdr:cNvPr id="12" name="Straight Connector 11">
          <a:extLst>
            <a:ext uri="{FF2B5EF4-FFF2-40B4-BE49-F238E27FC236}">
              <a16:creationId xmlns:a16="http://schemas.microsoft.com/office/drawing/2014/main" id="{28D24533-05EA-ACFE-E432-DB5B557733BC}"/>
            </a:ext>
          </a:extLst>
        </xdr:cNvPr>
        <xdr:cNvCxnSpPr/>
      </xdr:nvCxnSpPr>
      <xdr:spPr>
        <a:xfrm flipV="1">
          <a:off x="66675" y="1187090"/>
          <a:ext cx="13325475" cy="43382"/>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31201</xdr:colOff>
      <xdr:row>0</xdr:row>
      <xdr:rowOff>133355</xdr:rowOff>
    </xdr:from>
    <xdr:to>
      <xdr:col>17</xdr:col>
      <xdr:colOff>228601</xdr:colOff>
      <xdr:row>2</xdr:row>
      <xdr:rowOff>57149</xdr:rowOff>
    </xdr:to>
    <mc:AlternateContent xmlns:mc="http://schemas.openxmlformats.org/markup-compatibility/2006">
      <mc:Choice xmlns:a14="http://schemas.microsoft.com/office/drawing/2010/main" Requires="a14">
        <xdr:graphicFrame macro="">
          <xdr:nvGraphicFramePr>
            <xdr:cNvPr id="18" name="Product Name">
              <a:extLst>
                <a:ext uri="{FF2B5EF4-FFF2-40B4-BE49-F238E27FC236}">
                  <a16:creationId xmlns:a16="http://schemas.microsoft.com/office/drawing/2014/main" id="{7EDFAB07-4D45-4A56-830B-3A1A63CF31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7956001" y="133355"/>
              <a:ext cx="2635800" cy="96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0</xdr:row>
      <xdr:rowOff>76200</xdr:rowOff>
    </xdr:from>
    <xdr:to>
      <xdr:col>9</xdr:col>
      <xdr:colOff>581025</xdr:colOff>
      <xdr:row>14</xdr:row>
      <xdr:rowOff>152400</xdr:rowOff>
    </xdr:to>
    <xdr:graphicFrame macro="">
      <xdr:nvGraphicFramePr>
        <xdr:cNvPr id="3" name="Chart 2">
          <a:extLst>
            <a:ext uri="{FF2B5EF4-FFF2-40B4-BE49-F238E27FC236}">
              <a16:creationId xmlns:a16="http://schemas.microsoft.com/office/drawing/2014/main" id="{7A04DE81-A819-9563-EA7D-4F10AA84A9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152400</xdr:colOff>
      <xdr:row>2</xdr:row>
      <xdr:rowOff>114300</xdr:rowOff>
    </xdr:from>
    <xdr:to>
      <xdr:col>10</xdr:col>
      <xdr:colOff>457200</xdr:colOff>
      <xdr:row>17</xdr:row>
      <xdr:rowOff>0</xdr:rowOff>
    </xdr:to>
    <xdr:graphicFrame macro="">
      <xdr:nvGraphicFramePr>
        <xdr:cNvPr id="3" name="Chart 2">
          <a:extLst>
            <a:ext uri="{FF2B5EF4-FFF2-40B4-BE49-F238E27FC236}">
              <a16:creationId xmlns:a16="http://schemas.microsoft.com/office/drawing/2014/main" id="{C6F27F06-141F-E194-E87A-0DD3B6FE7D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547687</xdr:colOff>
      <xdr:row>0</xdr:row>
      <xdr:rowOff>152400</xdr:rowOff>
    </xdr:from>
    <xdr:to>
      <xdr:col>11</xdr:col>
      <xdr:colOff>242887</xdr:colOff>
      <xdr:row>15</xdr:row>
      <xdr:rowOff>38100</xdr:rowOff>
    </xdr:to>
    <xdr:graphicFrame macro="">
      <xdr:nvGraphicFramePr>
        <xdr:cNvPr id="2" name="Chart 1">
          <a:extLst>
            <a:ext uri="{FF2B5EF4-FFF2-40B4-BE49-F238E27FC236}">
              <a16:creationId xmlns:a16="http://schemas.microsoft.com/office/drawing/2014/main" id="{0BB3B695-773C-E4FD-1110-BFB1F27F17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590550</xdr:colOff>
      <xdr:row>5</xdr:row>
      <xdr:rowOff>9525</xdr:rowOff>
    </xdr:from>
    <xdr:to>
      <xdr:col>8</xdr:col>
      <xdr:colOff>704850</xdr:colOff>
      <xdr:row>19</xdr:row>
      <xdr:rowOff>85725</xdr:rowOff>
    </xdr:to>
    <xdr:graphicFrame macro="">
      <xdr:nvGraphicFramePr>
        <xdr:cNvPr id="2" name="Chart 1">
          <a:extLst>
            <a:ext uri="{FF2B5EF4-FFF2-40B4-BE49-F238E27FC236}">
              <a16:creationId xmlns:a16="http://schemas.microsoft.com/office/drawing/2014/main" id="{143EA27B-DAC1-9BD1-1D2E-6BF25CCEC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238125</xdr:colOff>
      <xdr:row>4</xdr:row>
      <xdr:rowOff>47625</xdr:rowOff>
    </xdr:from>
    <xdr:to>
      <xdr:col>13</xdr:col>
      <xdr:colOff>571500</xdr:colOff>
      <xdr:row>18</xdr:row>
      <xdr:rowOff>123825</xdr:rowOff>
    </xdr:to>
    <xdr:graphicFrame macro="">
      <xdr:nvGraphicFramePr>
        <xdr:cNvPr id="2" name="Chart 1">
          <a:extLst>
            <a:ext uri="{FF2B5EF4-FFF2-40B4-BE49-F238E27FC236}">
              <a16:creationId xmlns:a16="http://schemas.microsoft.com/office/drawing/2014/main" id="{28EA949D-AA91-EA57-D876-09DF8E3C77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504825</xdr:colOff>
      <xdr:row>1</xdr:row>
      <xdr:rowOff>0</xdr:rowOff>
    </xdr:from>
    <xdr:to>
      <xdr:col>10</xdr:col>
      <xdr:colOff>76200</xdr:colOff>
      <xdr:row>15</xdr:row>
      <xdr:rowOff>76200</xdr:rowOff>
    </xdr:to>
    <xdr:graphicFrame macro="">
      <xdr:nvGraphicFramePr>
        <xdr:cNvPr id="2" name="Chart 1">
          <a:extLst>
            <a:ext uri="{FF2B5EF4-FFF2-40B4-BE49-F238E27FC236}">
              <a16:creationId xmlns:a16="http://schemas.microsoft.com/office/drawing/2014/main" id="{B254C1B6-FF43-A3C3-8BFA-F9C8398BDA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409575</xdr:colOff>
      <xdr:row>1</xdr:row>
      <xdr:rowOff>95250</xdr:rowOff>
    </xdr:from>
    <xdr:to>
      <xdr:col>9</xdr:col>
      <xdr:colOff>590550</xdr:colOff>
      <xdr:row>15</xdr:row>
      <xdr:rowOff>171450</xdr:rowOff>
    </xdr:to>
    <xdr:graphicFrame macro="">
      <xdr:nvGraphicFramePr>
        <xdr:cNvPr id="2" name="Chart 1">
          <a:extLst>
            <a:ext uri="{FF2B5EF4-FFF2-40B4-BE49-F238E27FC236}">
              <a16:creationId xmlns:a16="http://schemas.microsoft.com/office/drawing/2014/main" id="{AE68E0EA-EEED-35BD-1790-5776E7719E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402.683838541663" createdVersion="8" refreshedVersion="8" minRefreshableVersion="3" recordCount="61" xr:uid="{E1972AD0-F257-4FA7-9D6E-41DA04D33AEB}">
  <cacheSource type="worksheet">
    <worksheetSource ref="A1:E62" sheet="Sales_Data"/>
  </cacheSource>
  <cacheFields count="5">
    <cacheField name="Branch" numFmtId="0">
      <sharedItems count="4">
        <s v="North Coast"/>
        <s v="East Coast"/>
        <s v="South Coast"/>
        <s v="West Coast"/>
      </sharedItems>
    </cacheField>
    <cacheField name="Sales Person" numFmtId="0">
      <sharedItems count="29">
        <s v="Altercon. C"/>
        <s v="Anderson. P"/>
        <s v="Atterson. P"/>
        <s v="Bonders. P"/>
        <s v="Connely. K"/>
        <s v="Dinnel. M"/>
        <s v="Edford. O"/>
        <s v="Franly. S"/>
        <s v="Grooner. T"/>
        <s v="Hannis. H"/>
        <s v="Ilknis. K"/>
        <s v="Jarison. P"/>
        <s v="Johnson. A"/>
        <s v="Kinsly. N"/>
        <s v="Lavin. T"/>
        <s v="Lumford. T"/>
        <s v="Moodley. L"/>
        <s v="Naidoo. L"/>
        <s v="Newson. L"/>
        <s v="Numkin. M"/>
        <s v="Oddesy. Y"/>
        <s v="Oxford. D"/>
        <s v="Perks. M"/>
        <s v="Peters. K"/>
        <s v="Petty. A"/>
        <s v="Pursly. U"/>
        <s v="Rooney. Y"/>
        <s v="Stanly. N"/>
        <s v="Toonly. S"/>
      </sharedItems>
    </cacheField>
    <cacheField name="Product Name" numFmtId="0">
      <sharedItems count="4">
        <s v="Air Conditioner"/>
        <s v="Refrigerator"/>
        <s v="Television"/>
        <s v="Washing Machine"/>
      </sharedItems>
    </cacheField>
    <cacheField name="Qty" numFmtId="0">
      <sharedItems containsSemiMixedTypes="0" containsString="0" containsNumber="1" containsInteger="1" minValue="5" maxValue="45"/>
    </cacheField>
    <cacheField name="Sales Amount" numFmtId="171">
      <sharedItems containsSemiMixedTypes="0" containsString="0" containsNumber="1" minValue="15.5" maxValue="3125"/>
    </cacheField>
  </cacheFields>
  <extLst>
    <ext xmlns:x14="http://schemas.microsoft.com/office/spreadsheetml/2009/9/main" uri="{725AE2AE-9491-48be-B2B4-4EB974FC3084}">
      <x14:pivotCacheDefinition pivotCacheId="15161785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x v="0"/>
    <x v="0"/>
    <x v="0"/>
    <n v="45"/>
    <n v="1528.8"/>
  </r>
  <r>
    <x v="0"/>
    <x v="0"/>
    <x v="1"/>
    <n v="15"/>
    <n v="250"/>
  </r>
  <r>
    <x v="1"/>
    <x v="1"/>
    <x v="2"/>
    <n v="5"/>
    <n v="320"/>
  </r>
  <r>
    <x v="1"/>
    <x v="1"/>
    <x v="3"/>
    <n v="15"/>
    <n v="52.15"/>
  </r>
  <r>
    <x v="0"/>
    <x v="2"/>
    <x v="0"/>
    <n v="45"/>
    <n v="35.4"/>
  </r>
  <r>
    <x v="0"/>
    <x v="2"/>
    <x v="1"/>
    <n v="15"/>
    <n v="1560"/>
  </r>
  <r>
    <x v="1"/>
    <x v="3"/>
    <x v="2"/>
    <n v="5"/>
    <n v="1280"/>
  </r>
  <r>
    <x v="1"/>
    <x v="3"/>
    <x v="3"/>
    <n v="15"/>
    <n v="159.6"/>
  </r>
  <r>
    <x v="1"/>
    <x v="3"/>
    <x v="0"/>
    <n v="45"/>
    <n v="153.30000000000001"/>
  </r>
  <r>
    <x v="1"/>
    <x v="3"/>
    <x v="1"/>
    <n v="15"/>
    <n v="1440"/>
  </r>
  <r>
    <x v="0"/>
    <x v="4"/>
    <x v="2"/>
    <n v="5"/>
    <n v="96"/>
  </r>
  <r>
    <x v="0"/>
    <x v="4"/>
    <x v="3"/>
    <n v="15"/>
    <n v="835.2"/>
  </r>
  <r>
    <x v="0"/>
    <x v="5"/>
    <x v="0"/>
    <n v="45"/>
    <n v="1100"/>
  </r>
  <r>
    <x v="0"/>
    <x v="6"/>
    <x v="1"/>
    <n v="15"/>
    <n v="98"/>
  </r>
  <r>
    <x v="0"/>
    <x v="6"/>
    <x v="2"/>
    <n v="5"/>
    <n v="360"/>
  </r>
  <r>
    <x v="2"/>
    <x v="7"/>
    <x v="3"/>
    <n v="15"/>
    <n v="44.7"/>
  </r>
  <r>
    <x v="2"/>
    <x v="7"/>
    <x v="0"/>
    <n v="45"/>
    <n v="315.75"/>
  </r>
  <r>
    <x v="2"/>
    <x v="8"/>
    <x v="1"/>
    <n v="15"/>
    <n v="680"/>
  </r>
  <r>
    <x v="2"/>
    <x v="8"/>
    <x v="2"/>
    <n v="5"/>
    <n v="55"/>
  </r>
  <r>
    <x v="2"/>
    <x v="9"/>
    <x v="3"/>
    <n v="15"/>
    <n v="523.5"/>
  </r>
  <r>
    <x v="2"/>
    <x v="9"/>
    <x v="0"/>
    <n v="45"/>
    <n v="180"/>
  </r>
  <r>
    <x v="2"/>
    <x v="10"/>
    <x v="1"/>
    <n v="15"/>
    <n v="544.6"/>
  </r>
  <r>
    <x v="2"/>
    <x v="10"/>
    <x v="2"/>
    <n v="5"/>
    <n v="1060"/>
  </r>
  <r>
    <x v="2"/>
    <x v="11"/>
    <x v="3"/>
    <n v="15"/>
    <n v="775"/>
  </r>
  <r>
    <x v="2"/>
    <x v="11"/>
    <x v="0"/>
    <n v="45"/>
    <n v="96"/>
  </r>
  <r>
    <x v="1"/>
    <x v="12"/>
    <x v="1"/>
    <n v="15"/>
    <n v="700"/>
  </r>
  <r>
    <x v="1"/>
    <x v="12"/>
    <x v="2"/>
    <n v="5"/>
    <n v="110.4"/>
  </r>
  <r>
    <x v="1"/>
    <x v="12"/>
    <x v="3"/>
    <n v="15"/>
    <n v="120"/>
  </r>
  <r>
    <x v="2"/>
    <x v="13"/>
    <x v="0"/>
    <n v="45"/>
    <n v="600"/>
  </r>
  <r>
    <x v="2"/>
    <x v="13"/>
    <x v="1"/>
    <n v="15"/>
    <n v="570"/>
  </r>
  <r>
    <x v="1"/>
    <x v="14"/>
    <x v="2"/>
    <n v="5"/>
    <n v="890"/>
  </r>
  <r>
    <x v="2"/>
    <x v="15"/>
    <x v="3"/>
    <n v="15"/>
    <n v="455"/>
  </r>
  <r>
    <x v="2"/>
    <x v="15"/>
    <x v="0"/>
    <n v="45"/>
    <n v="649.25"/>
  </r>
  <r>
    <x v="2"/>
    <x v="15"/>
    <x v="1"/>
    <n v="15"/>
    <n v="350"/>
  </r>
  <r>
    <x v="2"/>
    <x v="16"/>
    <x v="2"/>
    <n v="5"/>
    <n v="912"/>
  </r>
  <r>
    <x v="2"/>
    <x v="16"/>
    <x v="3"/>
    <n v="15"/>
    <n v="456"/>
  </r>
  <r>
    <x v="0"/>
    <x v="17"/>
    <x v="0"/>
    <n v="45"/>
    <n v="504"/>
  </r>
  <r>
    <x v="1"/>
    <x v="18"/>
    <x v="1"/>
    <n v="15"/>
    <n v="448"/>
  </r>
  <r>
    <x v="1"/>
    <x v="18"/>
    <x v="2"/>
    <n v="5"/>
    <n v="684"/>
  </r>
  <r>
    <x v="3"/>
    <x v="19"/>
    <x v="3"/>
    <n v="15"/>
    <n v="3125"/>
  </r>
  <r>
    <x v="3"/>
    <x v="19"/>
    <x v="0"/>
    <n v="45"/>
    <n v="378"/>
  </r>
  <r>
    <x v="3"/>
    <x v="20"/>
    <x v="1"/>
    <n v="15"/>
    <n v="210"/>
  </r>
  <r>
    <x v="3"/>
    <x v="20"/>
    <x v="2"/>
    <n v="5"/>
    <n v="276"/>
  </r>
  <r>
    <x v="0"/>
    <x v="21"/>
    <x v="3"/>
    <n v="15"/>
    <n v="400"/>
  </r>
  <r>
    <x v="0"/>
    <x v="21"/>
    <x v="0"/>
    <n v="45"/>
    <n v="372"/>
  </r>
  <r>
    <x v="0"/>
    <x v="21"/>
    <x v="1"/>
    <n v="15"/>
    <n v="336"/>
  </r>
  <r>
    <x v="1"/>
    <x v="22"/>
    <x v="2"/>
    <n v="5"/>
    <n v="194.5"/>
  </r>
  <r>
    <x v="1"/>
    <x v="23"/>
    <x v="3"/>
    <n v="15"/>
    <n v="224"/>
  </r>
  <r>
    <x v="1"/>
    <x v="23"/>
    <x v="0"/>
    <n v="45"/>
    <n v="281.60000000000002"/>
  </r>
  <r>
    <x v="1"/>
    <x v="23"/>
    <x v="1"/>
    <n v="15"/>
    <n v="1050"/>
  </r>
  <r>
    <x v="0"/>
    <x v="24"/>
    <x v="2"/>
    <n v="5"/>
    <n v="480"/>
  </r>
  <r>
    <x v="3"/>
    <x v="25"/>
    <x v="3"/>
    <n v="15"/>
    <n v="406.25"/>
  </r>
  <r>
    <x v="3"/>
    <x v="25"/>
    <x v="0"/>
    <n v="45"/>
    <n v="1250"/>
  </r>
  <r>
    <x v="3"/>
    <x v="26"/>
    <x v="1"/>
    <n v="15"/>
    <n v="570"/>
  </r>
  <r>
    <x v="3"/>
    <x v="26"/>
    <x v="2"/>
    <n v="5"/>
    <n v="190"/>
  </r>
  <r>
    <x v="3"/>
    <x v="26"/>
    <x v="3"/>
    <n v="15"/>
    <n v="522"/>
  </r>
  <r>
    <x v="3"/>
    <x v="27"/>
    <x v="0"/>
    <n v="45"/>
    <n v="15.5"/>
  </r>
  <r>
    <x v="3"/>
    <x v="27"/>
    <x v="1"/>
    <n v="15"/>
    <n v="2088"/>
  </r>
  <r>
    <x v="3"/>
    <x v="27"/>
    <x v="2"/>
    <n v="5"/>
    <n v="223.5"/>
  </r>
  <r>
    <x v="3"/>
    <x v="28"/>
    <x v="3"/>
    <n v="15"/>
    <n v="1093.05"/>
  </r>
  <r>
    <x v="3"/>
    <x v="28"/>
    <x v="0"/>
    <n v="45"/>
    <n v="6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3839C8F-BDFF-4647-BD19-A5C06CA590AA}" name="PivotTable1" cacheId="162"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20" customListSort="0">
  <location ref="A3:B7" firstHeaderRow="1" firstDataRow="1" firstDataCol="1"/>
  <pivotFields count="5">
    <pivotField showAll="0">
      <items count="5">
        <item x="1"/>
        <item x="0"/>
        <item x="2"/>
        <item x="3"/>
        <item t="default"/>
      </items>
    </pivotField>
    <pivotField showAll="0"/>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dataField="1" numFmtId="171" showAll="0"/>
  </pivotFields>
  <rowFields count="1">
    <field x="2"/>
  </rowFields>
  <rowItems count="4">
    <i>
      <x v="1"/>
    </i>
    <i>
      <x v="3"/>
    </i>
    <i>
      <x/>
    </i>
    <i>
      <x v="2"/>
    </i>
  </rowItems>
  <colItems count="1">
    <i/>
  </colItems>
  <dataFields count="1">
    <dataField name="Sum of Sales Amount" fld="4" baseField="0" baseItem="0"/>
  </dataFields>
  <chartFormats count="10">
    <chartFormat chart="1" format="2" series="1">
      <pivotArea type="data" outline="0" fieldPosition="0">
        <references count="2">
          <reference field="4294967294" count="1" selected="0">
            <x v="0"/>
          </reference>
          <reference field="2" count="1" selected="0">
            <x v="0"/>
          </reference>
        </references>
      </pivotArea>
    </chartFormat>
    <chartFormat chart="1" format="3" series="1">
      <pivotArea type="data" outline="0" fieldPosition="0">
        <references count="2">
          <reference field="4294967294" count="1" selected="0">
            <x v="0"/>
          </reference>
          <reference field="2" count="1" selected="0">
            <x v="1"/>
          </reference>
        </references>
      </pivotArea>
    </chartFormat>
    <chartFormat chart="1" format="4" series="1">
      <pivotArea type="data" outline="0" fieldPosition="0">
        <references count="2">
          <reference field="4294967294" count="1" selected="0">
            <x v="0"/>
          </reference>
          <reference field="2" count="1" selected="0">
            <x v="2"/>
          </reference>
        </references>
      </pivotArea>
    </chartFormat>
    <chartFormat chart="1" format="5" series="1">
      <pivotArea type="data" outline="0" fieldPosition="0">
        <references count="2">
          <reference field="4294967294" count="1" selected="0">
            <x v="0"/>
          </reference>
          <reference field="2" count="1" selected="0">
            <x v="3"/>
          </reference>
        </references>
      </pivotArea>
    </chartFormat>
    <chartFormat chart="5" format="11" series="1">
      <pivotArea type="data" outline="0" fieldPosition="0">
        <references count="2">
          <reference field="4294967294" count="1" selected="0">
            <x v="0"/>
          </reference>
          <reference field="2" count="1" selected="0">
            <x v="0"/>
          </reference>
        </references>
      </pivotArea>
    </chartFormat>
    <chartFormat chart="5" format="12" series="1">
      <pivotArea type="data" outline="0" fieldPosition="0">
        <references count="2">
          <reference field="4294967294" count="1" selected="0">
            <x v="0"/>
          </reference>
          <reference field="2" count="1" selected="0">
            <x v="1"/>
          </reference>
        </references>
      </pivotArea>
    </chartFormat>
    <chartFormat chart="5" format="13" series="1">
      <pivotArea type="data" outline="0" fieldPosition="0">
        <references count="2">
          <reference field="4294967294" count="1" selected="0">
            <x v="0"/>
          </reference>
          <reference field="2" count="1" selected="0">
            <x v="2"/>
          </reference>
        </references>
      </pivotArea>
    </chartFormat>
    <chartFormat chart="5" format="14" series="1">
      <pivotArea type="data" outline="0" fieldPosition="0">
        <references count="2">
          <reference field="4294967294" count="1" selected="0">
            <x v="0"/>
          </reference>
          <reference field="2" count="1" selected="0">
            <x v="3"/>
          </reference>
        </references>
      </pivotArea>
    </chartFormat>
    <chartFormat chart="1" format="6" series="1">
      <pivotArea type="data" outline="0" fieldPosition="0">
        <references count="1">
          <reference field="4294967294" count="1" selected="0">
            <x v="0"/>
          </reference>
        </references>
      </pivotArea>
    </chartFormat>
    <chartFormat chart="5"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6E3FAF-B92E-4051-AAAA-96088923B80C}" name="PivotTable2" cacheId="162"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24" customListSort="0">
  <location ref="A3:B8" firstHeaderRow="1" firstDataRow="1" firstDataCol="1"/>
  <pivotFields count="5">
    <pivotField showAll="0">
      <items count="5">
        <item x="1"/>
        <item x="0"/>
        <item x="2"/>
        <item x="3"/>
        <item t="default"/>
      </items>
    </pivotField>
    <pivotField axis="axisRow" showAll="0" measureFilter="1" sortType="descending">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autoSortScope>
        <pivotArea dataOnly="0" outline="0" fieldPosition="0">
          <references count="1">
            <reference field="4294967294" count="1" selected="0">
              <x v="0"/>
            </reference>
          </references>
        </pivotArea>
      </autoSortScope>
    </pivotField>
    <pivotField showAll="0">
      <items count="5">
        <item x="0"/>
        <item x="1"/>
        <item x="2"/>
        <item x="3"/>
        <item t="default"/>
      </items>
    </pivotField>
    <pivotField showAll="0"/>
    <pivotField dataField="1" numFmtId="171" showAll="0"/>
  </pivotFields>
  <rowFields count="1">
    <field x="1"/>
  </rowFields>
  <rowItems count="5">
    <i>
      <x v="19"/>
    </i>
    <i>
      <x v="3"/>
    </i>
    <i>
      <x v="27"/>
    </i>
    <i>
      <x/>
    </i>
    <i>
      <x v="28"/>
    </i>
  </rowItems>
  <colItems count="1">
    <i/>
  </colItems>
  <dataFields count="1">
    <dataField name="Sum of Sales Amount" fld="4" baseField="0" baseItem="0"/>
  </dataFields>
  <chartFormats count="2">
    <chartFormat chart="4" format="1"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2C9184-827A-4EA1-9B12-1BA75B3A8A98}" name="PivotTable3" cacheId="162"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chartFormat="31" customListSort="0">
  <location ref="A3:B7" firstHeaderRow="1" firstDataRow="1" firstDataCol="1"/>
  <pivotFields count="5">
    <pivotField axis="axisRow" showAll="0">
      <items count="5">
        <item x="3"/>
        <item x="2"/>
        <item x="0"/>
        <item x="1"/>
        <item t="default"/>
      </items>
    </pivotField>
    <pivotField showAll="0"/>
    <pivotField showAll="0">
      <items count="5">
        <item x="0"/>
        <item x="1"/>
        <item x="2"/>
        <item x="3"/>
        <item t="default"/>
      </items>
    </pivotField>
    <pivotField showAll="0"/>
    <pivotField dataField="1" numFmtId="171" showAll="0"/>
  </pivotFields>
  <rowFields count="1">
    <field x="0"/>
  </rowFields>
  <rowItems count="4">
    <i>
      <x/>
    </i>
    <i>
      <x v="1"/>
    </i>
    <i>
      <x v="2"/>
    </i>
    <i>
      <x v="3"/>
    </i>
  </rowItems>
  <colItems count="1">
    <i/>
  </colItems>
  <dataFields count="1">
    <dataField name="Sum of Sales Amount" fld="4" baseField="0" baseItem="0" numFmtId="2"/>
  </dataFields>
  <formats count="1">
    <format dxfId="0">
      <pivotArea outline="0" collapsedLevelsAreSubtotals="1" fieldPosition="0"/>
    </format>
  </formats>
  <chartFormats count="2">
    <chartFormat chart="11" format="1" series="1">
      <pivotArea type="data" outline="0" fieldPosition="0">
        <references count="1">
          <reference field="4294967294" count="1" selected="0">
            <x v="0"/>
          </reference>
        </references>
      </pivotArea>
    </chartFormat>
    <chartFormat chart="1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1ACB74-7034-4F2B-BE64-A85802C97425}" name="PivotTable4" cacheId="162"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8" indent="0" multipleFieldFilters="0" chartFormat="11" customListSort="0">
  <location ref="A3:B7" firstHeaderRow="1" firstDataRow="2" firstDataCol="1"/>
  <pivotFields count="5">
    <pivotField showAll="0">
      <items count="5">
        <item x="1"/>
        <item x="0"/>
        <item x="2"/>
        <item x="3"/>
        <item t="default"/>
      </items>
    </pivotField>
    <pivotField axis="axisRow" showAll="0" measureFilter="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Col" showAll="0">
      <items count="5">
        <item x="0"/>
        <item h="1" x="1"/>
        <item h="1" x="2"/>
        <item h="1" x="3"/>
        <item t="default"/>
      </items>
    </pivotField>
    <pivotField showAll="0"/>
    <pivotField dataField="1" numFmtId="171" showAll="0"/>
  </pivotFields>
  <rowFields count="1">
    <field x="1"/>
  </rowFields>
  <rowItems count="3">
    <i>
      <x/>
    </i>
    <i>
      <x v="5"/>
    </i>
    <i>
      <x v="25"/>
    </i>
  </rowItems>
  <colFields count="1">
    <field x="2"/>
  </colFields>
  <colItems count="1">
    <i>
      <x/>
    </i>
  </colItems>
  <dataFields count="1">
    <dataField name="Sum of Sales Amount" fld="4" baseField="0" baseItem="0"/>
  </dataFields>
  <chartFormats count="14">
    <chartFormat chart="0" format="13" series="1">
      <pivotArea type="data" outline="0" fieldPosition="0">
        <references count="1">
          <reference field="2" count="1" selected="0">
            <x v="0"/>
          </reference>
        </references>
      </pivotArea>
    </chartFormat>
    <chartFormat chart="0" format="14" series="1">
      <pivotArea type="data" outline="0" fieldPosition="0">
        <references count="1">
          <reference field="2" count="1" selected="0">
            <x v="1"/>
          </reference>
        </references>
      </pivotArea>
    </chartFormat>
    <chartFormat chart="0" format="15" series="1">
      <pivotArea type="data" outline="0" fieldPosition="0">
        <references count="1">
          <reference field="2" count="1" selected="0">
            <x v="2"/>
          </reference>
        </references>
      </pivotArea>
    </chartFormat>
    <chartFormat chart="0" format="16" series="1">
      <pivotArea type="data" outline="0" fieldPosition="0">
        <references count="1">
          <reference field="2" count="1" selected="0">
            <x v="3"/>
          </reference>
        </references>
      </pivotArea>
    </chartFormat>
    <chartFormat chart="2" format="15" series="1">
      <pivotArea type="data" outline="0" fieldPosition="0">
        <references count="1">
          <reference field="2" count="1" selected="0">
            <x v="0"/>
          </reference>
        </references>
      </pivotArea>
    </chartFormat>
    <chartFormat chart="2" format="16" series="1">
      <pivotArea type="data" outline="0" fieldPosition="0">
        <references count="1">
          <reference field="2" count="1" selected="0">
            <x v="1"/>
          </reference>
        </references>
      </pivotArea>
    </chartFormat>
    <chartFormat chart="2" format="17" series="1">
      <pivotArea type="data" outline="0" fieldPosition="0">
        <references count="1">
          <reference field="2" count="1" selected="0">
            <x v="2"/>
          </reference>
        </references>
      </pivotArea>
    </chartFormat>
    <chartFormat chart="2" format="18" series="1">
      <pivotArea type="data" outline="0" fieldPosition="0">
        <references count="1">
          <reference field="2" count="1" selected="0">
            <x v="3"/>
          </reference>
        </references>
      </pivotArea>
    </chartFormat>
    <chartFormat chart="2" format="19" series="1">
      <pivotArea type="data" outline="0" fieldPosition="0">
        <references count="2">
          <reference field="4294967294" count="1" selected="0">
            <x v="0"/>
          </reference>
          <reference field="2" count="1" selected="0">
            <x v="0"/>
          </reference>
        </references>
      </pivotArea>
    </chartFormat>
    <chartFormat chart="2" format="20" series="1">
      <pivotArea type="data" outline="0" fieldPosition="0">
        <references count="2">
          <reference field="4294967294" count="1" selected="0">
            <x v="0"/>
          </reference>
          <reference field="2" count="1" selected="0">
            <x v="1"/>
          </reference>
        </references>
      </pivotArea>
    </chartFormat>
    <chartFormat chart="2" format="21" series="1">
      <pivotArea type="data" outline="0" fieldPosition="0">
        <references count="2">
          <reference field="4294967294" count="1" selected="0">
            <x v="0"/>
          </reference>
          <reference field="2" count="1" selected="0">
            <x v="2"/>
          </reference>
        </references>
      </pivotArea>
    </chartFormat>
    <chartFormat chart="2" format="22" series="1">
      <pivotArea type="data" outline="0" fieldPosition="0">
        <references count="2">
          <reference field="4294967294" count="1" selected="0">
            <x v="0"/>
          </reference>
          <reference field="2" count="1" selected="0">
            <x v="3"/>
          </reference>
        </references>
      </pivotArea>
    </chartFormat>
    <chartFormat chart="0" format="17" series="1">
      <pivotArea type="data" outline="0" fieldPosition="0">
        <references count="1">
          <reference field="4294967294" count="1" selected="0">
            <x v="0"/>
          </reference>
        </references>
      </pivotArea>
    </chartFormat>
    <chartFormat chart="2" format="2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D100B4-9197-495C-B197-36B2B4DD1B75}" name="PivotTable5" cacheId="162"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8" indent="0" multipleFieldFilters="0" chartFormat="8" customListSort="0">
  <location ref="A3:B7" firstHeaderRow="1" firstDataRow="2" firstDataCol="1"/>
  <pivotFields count="5">
    <pivotField showAll="0">
      <items count="5">
        <item x="1"/>
        <item x="0"/>
        <item x="2"/>
        <item x="3"/>
        <item t="default"/>
      </items>
    </pivotField>
    <pivotField axis="axisRow" showAll="0" measureFilter="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Col" showAll="0">
      <items count="5">
        <item h="1" x="0"/>
        <item x="1"/>
        <item h="1" x="2"/>
        <item h="1" x="3"/>
        <item t="default"/>
      </items>
    </pivotField>
    <pivotField showAll="0"/>
    <pivotField dataField="1" numFmtId="171" showAll="0"/>
  </pivotFields>
  <rowFields count="1">
    <field x="1"/>
  </rowFields>
  <rowItems count="3">
    <i>
      <x v="2"/>
    </i>
    <i>
      <x v="3"/>
    </i>
    <i>
      <x v="27"/>
    </i>
  </rowItems>
  <colFields count="1">
    <field x="2"/>
  </colFields>
  <colItems count="1">
    <i>
      <x v="1"/>
    </i>
  </colItems>
  <dataFields count="1">
    <dataField name="Sum of Sales Amount" fld="4" baseField="0" baseItem="0"/>
  </dataFields>
  <chartFormats count="10">
    <chartFormat chart="0" format="4" series="1">
      <pivotArea type="data" outline="0" fieldPosition="0">
        <references count="1">
          <reference field="2" count="1" selected="0">
            <x v="0"/>
          </reference>
        </references>
      </pivotArea>
    </chartFormat>
    <chartFormat chart="0" format="5" series="1">
      <pivotArea type="data" outline="0" fieldPosition="0">
        <references count="1">
          <reference field="2" count="1" selected="0">
            <x v="1"/>
          </reference>
        </references>
      </pivotArea>
    </chartFormat>
    <chartFormat chart="0" format="6" series="1">
      <pivotArea type="data" outline="0" fieldPosition="0">
        <references count="1">
          <reference field="2" count="1" selected="0">
            <x v="2"/>
          </reference>
        </references>
      </pivotArea>
    </chartFormat>
    <chartFormat chart="0" format="7" series="1">
      <pivotArea type="data" outline="0" fieldPosition="0">
        <references count="1">
          <reference field="2" count="1" selected="0">
            <x v="3"/>
          </reference>
        </references>
      </pivotArea>
    </chartFormat>
    <chartFormat chart="2" format="6" series="1">
      <pivotArea type="data" outline="0" fieldPosition="0">
        <references count="1">
          <reference field="2" count="1" selected="0">
            <x v="0"/>
          </reference>
        </references>
      </pivotArea>
    </chartFormat>
    <chartFormat chart="2" format="7" series="1">
      <pivotArea type="data" outline="0" fieldPosition="0">
        <references count="1">
          <reference field="2" count="1" selected="0">
            <x v="1"/>
          </reference>
        </references>
      </pivotArea>
    </chartFormat>
    <chartFormat chart="2" format="8" series="1">
      <pivotArea type="data" outline="0" fieldPosition="0">
        <references count="1">
          <reference field="2" count="1" selected="0">
            <x v="2"/>
          </reference>
        </references>
      </pivotArea>
    </chartFormat>
    <chartFormat chart="2" format="9" series="1">
      <pivotArea type="data" outline="0" fieldPosition="0">
        <references count="1">
          <reference field="2" count="1" selected="0">
            <x v="3"/>
          </reference>
        </references>
      </pivotArea>
    </chartFormat>
    <chartFormat chart="0" format="8"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E72DCE-EDAE-4DAC-81CA-EDD63B63ABD9}" name="PivotTable6" cacheId="162"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8" indent="0" multipleFieldFilters="0" chartFormat="20" customListSort="0">
  <location ref="A3:B7" firstHeaderRow="1" firstDataRow="2" firstDataCol="1"/>
  <pivotFields count="5">
    <pivotField showAll="0">
      <items count="5">
        <item x="1"/>
        <item x="0"/>
        <item x="2"/>
        <item x="3"/>
        <item t="default"/>
      </items>
    </pivotField>
    <pivotField axis="axisRow" showAll="0" measureFilter="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Col" showAll="0">
      <items count="5">
        <item h="1" x="0"/>
        <item h="1" x="1"/>
        <item x="2"/>
        <item h="1" x="3"/>
        <item t="default"/>
      </items>
    </pivotField>
    <pivotField showAll="0"/>
    <pivotField dataField="1" numFmtId="171" showAll="0"/>
  </pivotFields>
  <rowFields count="1">
    <field x="1"/>
  </rowFields>
  <rowItems count="3">
    <i>
      <x v="3"/>
    </i>
    <i>
      <x v="10"/>
    </i>
    <i>
      <x v="16"/>
    </i>
  </rowItems>
  <colFields count="1">
    <field x="2"/>
  </colFields>
  <colItems count="1">
    <i>
      <x v="2"/>
    </i>
  </colItems>
  <dataFields count="1">
    <dataField name="Sum of Sales Amount" fld="4" baseField="0" baseItem="0"/>
  </dataFields>
  <chartFormats count="16">
    <chartFormat chart="0" format="9" series="1">
      <pivotArea type="data" outline="0" fieldPosition="0">
        <references count="1">
          <reference field="2" count="1" selected="0">
            <x v="0"/>
          </reference>
        </references>
      </pivotArea>
    </chartFormat>
    <chartFormat chart="0" format="10" series="1">
      <pivotArea type="data" outline="0" fieldPosition="0">
        <references count="1">
          <reference field="2" count="1" selected="0">
            <x v="1"/>
          </reference>
        </references>
      </pivotArea>
    </chartFormat>
    <chartFormat chart="0" format="11" series="1">
      <pivotArea type="data" outline="0" fieldPosition="0">
        <references count="1">
          <reference field="2" count="1" selected="0">
            <x v="2"/>
          </reference>
        </references>
      </pivotArea>
    </chartFormat>
    <chartFormat chart="0" format="12" series="1">
      <pivotArea type="data" outline="0" fieldPosition="0">
        <references count="1">
          <reference field="2" count="1" selected="0">
            <x v="3"/>
          </reference>
        </references>
      </pivotArea>
    </chartFormat>
    <chartFormat chart="2" format="11" series="1">
      <pivotArea type="data" outline="0" fieldPosition="0">
        <references count="1">
          <reference field="2" count="1" selected="0">
            <x v="0"/>
          </reference>
        </references>
      </pivotArea>
    </chartFormat>
    <chartFormat chart="2" format="12" series="1">
      <pivotArea type="data" outline="0" fieldPosition="0">
        <references count="1">
          <reference field="2" count="1" selected="0">
            <x v="1"/>
          </reference>
        </references>
      </pivotArea>
    </chartFormat>
    <chartFormat chart="2" format="13" series="1">
      <pivotArea type="data" outline="0" fieldPosition="0">
        <references count="1">
          <reference field="2" count="1" selected="0">
            <x v="2"/>
          </reference>
        </references>
      </pivotArea>
    </chartFormat>
    <chartFormat chart="2" format="14" series="1">
      <pivotArea type="data" outline="0" fieldPosition="0">
        <references count="1">
          <reference field="2" count="1" selected="0">
            <x v="3"/>
          </reference>
        </references>
      </pivotArea>
    </chartFormat>
    <chartFormat chart="0" format="13" series="1">
      <pivotArea type="data" outline="0" fieldPosition="0">
        <references count="1">
          <reference field="4294967294" count="1" selected="0">
            <x v="0"/>
          </reference>
        </references>
      </pivotArea>
    </chartFormat>
    <chartFormat chart="2" format="15"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2" count="1" selected="0">
            <x v="1"/>
          </reference>
        </references>
      </pivotArea>
    </chartFormat>
    <chartFormat chart="0" format="15" series="1">
      <pivotArea type="data" outline="0" fieldPosition="0">
        <references count="2">
          <reference field="4294967294" count="1" selected="0">
            <x v="0"/>
          </reference>
          <reference field="2" count="1" selected="0">
            <x v="2"/>
          </reference>
        </references>
      </pivotArea>
    </chartFormat>
    <chartFormat chart="0" format="16" series="1">
      <pivotArea type="data" outline="0" fieldPosition="0">
        <references count="2">
          <reference field="4294967294" count="1" selected="0">
            <x v="0"/>
          </reference>
          <reference field="2" count="1" selected="0">
            <x v="3"/>
          </reference>
        </references>
      </pivotArea>
    </chartFormat>
    <chartFormat chart="2" format="16" series="1">
      <pivotArea type="data" outline="0" fieldPosition="0">
        <references count="2">
          <reference field="4294967294" count="1" selected="0">
            <x v="0"/>
          </reference>
          <reference field="2" count="1" selected="0">
            <x v="1"/>
          </reference>
        </references>
      </pivotArea>
    </chartFormat>
    <chartFormat chart="2" format="17" series="1">
      <pivotArea type="data" outline="0" fieldPosition="0">
        <references count="2">
          <reference field="4294967294" count="1" selected="0">
            <x v="0"/>
          </reference>
          <reference field="2" count="1" selected="0">
            <x v="2"/>
          </reference>
        </references>
      </pivotArea>
    </chartFormat>
    <chartFormat chart="2" format="18"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4525E1-B720-4909-B899-FC3AFD1FE1F6}" name="PivotTable7" cacheId="162" applyNumberFormats="0" applyBorderFormats="0" applyFontFormats="0" applyPatternFormats="0" applyAlignmentFormats="0" applyWidthHeightFormats="1" dataCaption="Values" updatedVersion="8" minRefreshableVersion="3" enableDrill="0" useAutoFormatting="1" rowGrandTotals="0" colGrandTotals="0" itemPrintTitles="1" createdVersion="8" indent="0" multipleFieldFilters="0" chartFormat="8" customListSort="0">
  <location ref="A3:B7" firstHeaderRow="1" firstDataRow="2" firstDataCol="1"/>
  <pivotFields count="5">
    <pivotField showAll="0">
      <items count="5">
        <item x="1"/>
        <item x="0"/>
        <item x="2"/>
        <item x="3"/>
        <item t="default"/>
      </items>
    </pivotField>
    <pivotField axis="axisRow" showAll="0" measureFilter="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Col" showAll="0">
      <items count="5">
        <item h="1" x="0"/>
        <item h="1" x="1"/>
        <item h="1" x="2"/>
        <item x="3"/>
        <item t="default"/>
      </items>
    </pivotField>
    <pivotField showAll="0"/>
    <pivotField dataField="1" numFmtId="171" showAll="0"/>
  </pivotFields>
  <rowFields count="1">
    <field x="1"/>
  </rowFields>
  <rowItems count="3">
    <i>
      <x v="4"/>
    </i>
    <i>
      <x v="19"/>
    </i>
    <i>
      <x v="28"/>
    </i>
  </rowItems>
  <colFields count="1">
    <field x="2"/>
  </colFields>
  <colItems count="1">
    <i>
      <x v="3"/>
    </i>
  </colItems>
  <dataFields count="1">
    <dataField name="Sum of Sales Amount" fld="4" baseField="0" baseItem="0"/>
  </dataFields>
  <chartFormats count="10">
    <chartFormat chart="0" format="4" series="1">
      <pivotArea type="data" outline="0" fieldPosition="0">
        <references count="2">
          <reference field="4294967294" count="1" selected="0">
            <x v="0"/>
          </reference>
          <reference field="2" count="1" selected="0">
            <x v="0"/>
          </reference>
        </references>
      </pivotArea>
    </chartFormat>
    <chartFormat chart="0" format="5" series="1">
      <pivotArea type="data" outline="0" fieldPosition="0">
        <references count="2">
          <reference field="4294967294" count="1" selected="0">
            <x v="0"/>
          </reference>
          <reference field="2" count="1" selected="0">
            <x v="1"/>
          </reference>
        </references>
      </pivotArea>
    </chartFormat>
    <chartFormat chart="0" format="6" series="1">
      <pivotArea type="data" outline="0" fieldPosition="0">
        <references count="2">
          <reference field="4294967294" count="1" selected="0">
            <x v="0"/>
          </reference>
          <reference field="2" count="1" selected="0">
            <x v="2"/>
          </reference>
        </references>
      </pivotArea>
    </chartFormat>
    <chartFormat chart="0" format="7" series="1">
      <pivotArea type="data" outline="0" fieldPosition="0">
        <references count="2">
          <reference field="4294967294" count="1" selected="0">
            <x v="0"/>
          </reference>
          <reference field="2" count="1" selected="0">
            <x v="3"/>
          </reference>
        </references>
      </pivotArea>
    </chartFormat>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 chart="0" format="8"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9B62D5B3-90B2-46E6-BB2D-929A26BD5901}" sourceName="Branch">
  <pivotTables>
    <pivotTable tabId="3" name="PivotTable2"/>
    <pivotTable tabId="7" name="PivotTable6"/>
    <pivotTable tabId="6" name="PivotTable5"/>
    <pivotTable tabId="5" name="PivotTable4"/>
    <pivotTable tabId="8" name="PivotTable7"/>
    <pivotTable tabId="2" name="PivotTable1"/>
  </pivotTables>
  <data>
    <tabular pivotCacheId="1516178567" crossFilter="showItemsWithNoData">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EB65BB44-4902-472D-9EA9-A0135A41EDEB}" sourceName="Product Name">
  <pivotTables>
    <pivotTable tabId="4" name="PivotTable3"/>
    <pivotTable tabId="3" name="PivotTable2"/>
  </pivotTables>
  <data>
    <tabular pivotCacheId="1516178567" crossFilter="showItemsWithNoData">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E8DD5C89-4224-4FDC-BA5C-0CE5385F89EF}" cache="Slicer_Branch" caption="Branch" columnCount="2" style="SlicerStyleDark2" rowHeight="252000"/>
  <slicer name="Product Name" xr10:uid="{254A4491-C897-4876-878D-860C40A00088}" cache="Slicer_Product_Name" caption="Product Name" columnCount="2"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1E5DA-7B54-4183-AE44-8E7357C9138F}">
  <sheetPr codeName="Sheet2"/>
  <dimension ref="A1:F73"/>
  <sheetViews>
    <sheetView workbookViewId="0">
      <selection activeCell="A2" sqref="A2"/>
    </sheetView>
  </sheetViews>
  <sheetFormatPr defaultRowHeight="15" x14ac:dyDescent="0.25"/>
  <cols>
    <col min="1" max="1" width="12.42578125" bestFit="1" customWidth="1"/>
    <col min="2" max="2" width="17.42578125" bestFit="1" customWidth="1"/>
    <col min="3" max="3" width="18.7109375" bestFit="1" customWidth="1"/>
    <col min="4" max="4" width="9.140625" bestFit="1" customWidth="1"/>
    <col min="5" max="5" width="16.140625" bestFit="1" customWidth="1"/>
    <col min="10" max="10" width="37.5703125" bestFit="1" customWidth="1"/>
  </cols>
  <sheetData>
    <row r="1" spans="1:5" x14ac:dyDescent="0.25">
      <c r="A1" s="11" t="s">
        <v>0</v>
      </c>
      <c r="B1" s="11" t="s">
        <v>1</v>
      </c>
      <c r="C1" s="11" t="s">
        <v>2</v>
      </c>
      <c r="D1" s="11" t="s">
        <v>3</v>
      </c>
      <c r="E1" s="12" t="s">
        <v>47</v>
      </c>
    </row>
    <row r="2" spans="1:5" x14ac:dyDescent="0.25">
      <c r="A2" s="1" t="s">
        <v>4</v>
      </c>
      <c r="B2" s="1" t="s">
        <v>5</v>
      </c>
      <c r="C2" s="1" t="s">
        <v>6</v>
      </c>
      <c r="D2" s="1">
        <v>45</v>
      </c>
      <c r="E2" s="13">
        <v>1528.8</v>
      </c>
    </row>
    <row r="3" spans="1:5" x14ac:dyDescent="0.25">
      <c r="A3" s="1" t="s">
        <v>4</v>
      </c>
      <c r="B3" s="1" t="s">
        <v>5</v>
      </c>
      <c r="C3" s="1" t="s">
        <v>7</v>
      </c>
      <c r="D3" s="1">
        <v>15</v>
      </c>
      <c r="E3" s="13">
        <v>250</v>
      </c>
    </row>
    <row r="4" spans="1:5" x14ac:dyDescent="0.25">
      <c r="A4" s="1" t="s">
        <v>8</v>
      </c>
      <c r="B4" s="1" t="s">
        <v>9</v>
      </c>
      <c r="C4" s="1" t="s">
        <v>10</v>
      </c>
      <c r="D4" s="1">
        <v>5</v>
      </c>
      <c r="E4" s="13">
        <v>320</v>
      </c>
    </row>
    <row r="5" spans="1:5" x14ac:dyDescent="0.25">
      <c r="A5" s="1" t="s">
        <v>8</v>
      </c>
      <c r="B5" s="1" t="s">
        <v>9</v>
      </c>
      <c r="C5" s="1" t="s">
        <v>11</v>
      </c>
      <c r="D5" s="1">
        <v>15</v>
      </c>
      <c r="E5" s="13">
        <v>52.15</v>
      </c>
    </row>
    <row r="6" spans="1:5" x14ac:dyDescent="0.25">
      <c r="A6" s="1" t="s">
        <v>4</v>
      </c>
      <c r="B6" s="1" t="s">
        <v>12</v>
      </c>
      <c r="C6" s="1" t="s">
        <v>6</v>
      </c>
      <c r="D6" s="1">
        <v>45</v>
      </c>
      <c r="E6" s="13">
        <v>35.4</v>
      </c>
    </row>
    <row r="7" spans="1:5" x14ac:dyDescent="0.25">
      <c r="A7" s="1" t="s">
        <v>4</v>
      </c>
      <c r="B7" s="1" t="s">
        <v>12</v>
      </c>
      <c r="C7" s="1" t="s">
        <v>7</v>
      </c>
      <c r="D7" s="1">
        <v>15</v>
      </c>
      <c r="E7" s="13">
        <v>1560</v>
      </c>
    </row>
    <row r="8" spans="1:5" x14ac:dyDescent="0.25">
      <c r="A8" s="1" t="s">
        <v>8</v>
      </c>
      <c r="B8" s="1" t="s">
        <v>13</v>
      </c>
      <c r="C8" s="1" t="s">
        <v>10</v>
      </c>
      <c r="D8" s="1">
        <v>5</v>
      </c>
      <c r="E8" s="13">
        <v>1280</v>
      </c>
    </row>
    <row r="9" spans="1:5" x14ac:dyDescent="0.25">
      <c r="A9" s="1" t="s">
        <v>8</v>
      </c>
      <c r="B9" s="1" t="s">
        <v>13</v>
      </c>
      <c r="C9" s="1" t="s">
        <v>11</v>
      </c>
      <c r="D9" s="1">
        <v>15</v>
      </c>
      <c r="E9" s="13">
        <v>159.6</v>
      </c>
    </row>
    <row r="10" spans="1:5" x14ac:dyDescent="0.25">
      <c r="A10" s="1" t="s">
        <v>8</v>
      </c>
      <c r="B10" s="1" t="s">
        <v>13</v>
      </c>
      <c r="C10" s="1" t="s">
        <v>6</v>
      </c>
      <c r="D10" s="1">
        <v>45</v>
      </c>
      <c r="E10" s="13">
        <v>153.30000000000001</v>
      </c>
    </row>
    <row r="11" spans="1:5" x14ac:dyDescent="0.25">
      <c r="A11" s="1" t="s">
        <v>8</v>
      </c>
      <c r="B11" s="1" t="s">
        <v>13</v>
      </c>
      <c r="C11" s="1" t="s">
        <v>7</v>
      </c>
      <c r="D11" s="1">
        <v>15</v>
      </c>
      <c r="E11" s="13">
        <v>1440</v>
      </c>
    </row>
    <row r="12" spans="1:5" x14ac:dyDescent="0.25">
      <c r="A12" s="1" t="s">
        <v>4</v>
      </c>
      <c r="B12" s="1" t="s">
        <v>14</v>
      </c>
      <c r="C12" s="1" t="s">
        <v>10</v>
      </c>
      <c r="D12" s="1">
        <v>5</v>
      </c>
      <c r="E12" s="13">
        <v>96</v>
      </c>
    </row>
    <row r="13" spans="1:5" x14ac:dyDescent="0.25">
      <c r="A13" s="1" t="s">
        <v>4</v>
      </c>
      <c r="B13" s="1" t="s">
        <v>14</v>
      </c>
      <c r="C13" s="1" t="s">
        <v>11</v>
      </c>
      <c r="D13" s="1">
        <v>15</v>
      </c>
      <c r="E13" s="13">
        <v>835.2</v>
      </c>
    </row>
    <row r="14" spans="1:5" x14ac:dyDescent="0.25">
      <c r="A14" s="1" t="s">
        <v>4</v>
      </c>
      <c r="B14" s="1" t="s">
        <v>15</v>
      </c>
      <c r="C14" s="1" t="s">
        <v>6</v>
      </c>
      <c r="D14" s="1">
        <v>45</v>
      </c>
      <c r="E14" s="13">
        <v>1100</v>
      </c>
    </row>
    <row r="15" spans="1:5" x14ac:dyDescent="0.25">
      <c r="A15" s="1" t="s">
        <v>4</v>
      </c>
      <c r="B15" s="1" t="s">
        <v>16</v>
      </c>
      <c r="C15" s="1" t="s">
        <v>7</v>
      </c>
      <c r="D15" s="1">
        <v>15</v>
      </c>
      <c r="E15" s="13">
        <v>98</v>
      </c>
    </row>
    <row r="16" spans="1:5" x14ac:dyDescent="0.25">
      <c r="A16" s="1" t="s">
        <v>4</v>
      </c>
      <c r="B16" s="1" t="s">
        <v>16</v>
      </c>
      <c r="C16" s="1" t="s">
        <v>10</v>
      </c>
      <c r="D16" s="1">
        <v>5</v>
      </c>
      <c r="E16" s="13">
        <v>360</v>
      </c>
    </row>
    <row r="17" spans="1:5" x14ac:dyDescent="0.25">
      <c r="A17" s="1" t="s">
        <v>17</v>
      </c>
      <c r="B17" s="1" t="s">
        <v>18</v>
      </c>
      <c r="C17" s="1" t="s">
        <v>11</v>
      </c>
      <c r="D17" s="1">
        <v>15</v>
      </c>
      <c r="E17" s="13">
        <v>44.7</v>
      </c>
    </row>
    <row r="18" spans="1:5" x14ac:dyDescent="0.25">
      <c r="A18" s="1" t="s">
        <v>17</v>
      </c>
      <c r="B18" s="1" t="s">
        <v>18</v>
      </c>
      <c r="C18" s="1" t="s">
        <v>6</v>
      </c>
      <c r="D18" s="1">
        <v>45</v>
      </c>
      <c r="E18" s="13">
        <v>315.75</v>
      </c>
    </row>
    <row r="19" spans="1:5" x14ac:dyDescent="0.25">
      <c r="A19" s="1" t="s">
        <v>17</v>
      </c>
      <c r="B19" s="1" t="s">
        <v>19</v>
      </c>
      <c r="C19" s="1" t="s">
        <v>7</v>
      </c>
      <c r="D19" s="1">
        <v>15</v>
      </c>
      <c r="E19" s="13">
        <v>680</v>
      </c>
    </row>
    <row r="20" spans="1:5" x14ac:dyDescent="0.25">
      <c r="A20" s="1" t="s">
        <v>17</v>
      </c>
      <c r="B20" s="1" t="s">
        <v>19</v>
      </c>
      <c r="C20" s="1" t="s">
        <v>10</v>
      </c>
      <c r="D20" s="1">
        <v>5</v>
      </c>
      <c r="E20" s="13">
        <v>55</v>
      </c>
    </row>
    <row r="21" spans="1:5" x14ac:dyDescent="0.25">
      <c r="A21" s="1" t="s">
        <v>17</v>
      </c>
      <c r="B21" s="1" t="s">
        <v>20</v>
      </c>
      <c r="C21" s="1" t="s">
        <v>11</v>
      </c>
      <c r="D21" s="1">
        <v>15</v>
      </c>
      <c r="E21" s="13">
        <v>523.5</v>
      </c>
    </row>
    <row r="22" spans="1:5" x14ac:dyDescent="0.25">
      <c r="A22" s="1" t="s">
        <v>17</v>
      </c>
      <c r="B22" s="1" t="s">
        <v>20</v>
      </c>
      <c r="C22" s="1" t="s">
        <v>6</v>
      </c>
      <c r="D22" s="1">
        <v>45</v>
      </c>
      <c r="E22" s="13">
        <v>180</v>
      </c>
    </row>
    <row r="23" spans="1:5" x14ac:dyDescent="0.25">
      <c r="A23" s="1" t="s">
        <v>17</v>
      </c>
      <c r="B23" s="1" t="s">
        <v>21</v>
      </c>
      <c r="C23" s="1" t="s">
        <v>7</v>
      </c>
      <c r="D23" s="1">
        <v>15</v>
      </c>
      <c r="E23" s="13">
        <v>544.6</v>
      </c>
    </row>
    <row r="24" spans="1:5" x14ac:dyDescent="0.25">
      <c r="A24" s="1" t="s">
        <v>17</v>
      </c>
      <c r="B24" s="1" t="s">
        <v>21</v>
      </c>
      <c r="C24" s="1" t="s">
        <v>10</v>
      </c>
      <c r="D24" s="1">
        <v>5</v>
      </c>
      <c r="E24" s="13">
        <v>1060</v>
      </c>
    </row>
    <row r="25" spans="1:5" x14ac:dyDescent="0.25">
      <c r="A25" s="1" t="s">
        <v>17</v>
      </c>
      <c r="B25" s="1" t="s">
        <v>22</v>
      </c>
      <c r="C25" s="1" t="s">
        <v>11</v>
      </c>
      <c r="D25" s="1">
        <v>15</v>
      </c>
      <c r="E25" s="13">
        <v>775</v>
      </c>
    </row>
    <row r="26" spans="1:5" x14ac:dyDescent="0.25">
      <c r="A26" s="1" t="s">
        <v>17</v>
      </c>
      <c r="B26" s="1" t="s">
        <v>22</v>
      </c>
      <c r="C26" s="1" t="s">
        <v>6</v>
      </c>
      <c r="D26" s="1">
        <v>45</v>
      </c>
      <c r="E26" s="13">
        <v>96</v>
      </c>
    </row>
    <row r="27" spans="1:5" x14ac:dyDescent="0.25">
      <c r="A27" s="1" t="s">
        <v>8</v>
      </c>
      <c r="B27" s="1" t="s">
        <v>23</v>
      </c>
      <c r="C27" s="1" t="s">
        <v>7</v>
      </c>
      <c r="D27" s="1">
        <v>15</v>
      </c>
      <c r="E27" s="13">
        <v>700</v>
      </c>
    </row>
    <row r="28" spans="1:5" x14ac:dyDescent="0.25">
      <c r="A28" s="1" t="s">
        <v>8</v>
      </c>
      <c r="B28" s="1" t="s">
        <v>23</v>
      </c>
      <c r="C28" s="1" t="s">
        <v>10</v>
      </c>
      <c r="D28" s="1">
        <v>5</v>
      </c>
      <c r="E28" s="13">
        <v>110.4</v>
      </c>
    </row>
    <row r="29" spans="1:5" x14ac:dyDescent="0.25">
      <c r="A29" s="1" t="s">
        <v>8</v>
      </c>
      <c r="B29" s="1" t="s">
        <v>23</v>
      </c>
      <c r="C29" s="1" t="s">
        <v>11</v>
      </c>
      <c r="D29" s="1">
        <v>15</v>
      </c>
      <c r="E29" s="13">
        <v>120</v>
      </c>
    </row>
    <row r="30" spans="1:5" x14ac:dyDescent="0.25">
      <c r="A30" s="1" t="s">
        <v>17</v>
      </c>
      <c r="B30" s="1" t="s">
        <v>24</v>
      </c>
      <c r="C30" s="1" t="s">
        <v>6</v>
      </c>
      <c r="D30" s="1">
        <v>45</v>
      </c>
      <c r="E30" s="13">
        <v>600</v>
      </c>
    </row>
    <row r="31" spans="1:5" x14ac:dyDescent="0.25">
      <c r="A31" s="1" t="s">
        <v>17</v>
      </c>
      <c r="B31" s="1" t="s">
        <v>24</v>
      </c>
      <c r="C31" s="1" t="s">
        <v>7</v>
      </c>
      <c r="D31" s="1">
        <v>15</v>
      </c>
      <c r="E31" s="13">
        <v>570</v>
      </c>
    </row>
    <row r="32" spans="1:5" x14ac:dyDescent="0.25">
      <c r="A32" s="1" t="s">
        <v>8</v>
      </c>
      <c r="B32" s="1" t="s">
        <v>25</v>
      </c>
      <c r="C32" s="1" t="s">
        <v>10</v>
      </c>
      <c r="D32" s="1">
        <v>5</v>
      </c>
      <c r="E32" s="13">
        <v>890</v>
      </c>
    </row>
    <row r="33" spans="1:5" x14ac:dyDescent="0.25">
      <c r="A33" s="1" t="s">
        <v>17</v>
      </c>
      <c r="B33" s="1" t="s">
        <v>26</v>
      </c>
      <c r="C33" s="1" t="s">
        <v>11</v>
      </c>
      <c r="D33" s="1">
        <v>15</v>
      </c>
      <c r="E33" s="13">
        <v>455</v>
      </c>
    </row>
    <row r="34" spans="1:5" x14ac:dyDescent="0.25">
      <c r="A34" s="1" t="s">
        <v>17</v>
      </c>
      <c r="B34" s="1" t="s">
        <v>26</v>
      </c>
      <c r="C34" s="1" t="s">
        <v>6</v>
      </c>
      <c r="D34" s="1">
        <v>45</v>
      </c>
      <c r="E34" s="13">
        <v>649.25</v>
      </c>
    </row>
    <row r="35" spans="1:5" x14ac:dyDescent="0.25">
      <c r="A35" s="1" t="s">
        <v>17</v>
      </c>
      <c r="B35" s="1" t="s">
        <v>26</v>
      </c>
      <c r="C35" s="1" t="s">
        <v>7</v>
      </c>
      <c r="D35" s="1">
        <v>15</v>
      </c>
      <c r="E35" s="13">
        <v>350</v>
      </c>
    </row>
    <row r="36" spans="1:5" x14ac:dyDescent="0.25">
      <c r="A36" s="1" t="s">
        <v>17</v>
      </c>
      <c r="B36" s="1" t="s">
        <v>27</v>
      </c>
      <c r="C36" s="1" t="s">
        <v>10</v>
      </c>
      <c r="D36" s="1">
        <v>5</v>
      </c>
      <c r="E36" s="13">
        <v>912</v>
      </c>
    </row>
    <row r="37" spans="1:5" x14ac:dyDescent="0.25">
      <c r="A37" s="1" t="s">
        <v>17</v>
      </c>
      <c r="B37" s="1" t="s">
        <v>27</v>
      </c>
      <c r="C37" s="1" t="s">
        <v>11</v>
      </c>
      <c r="D37" s="1">
        <v>15</v>
      </c>
      <c r="E37" s="13">
        <v>456</v>
      </c>
    </row>
    <row r="38" spans="1:5" x14ac:dyDescent="0.25">
      <c r="A38" s="1" t="s">
        <v>4</v>
      </c>
      <c r="B38" s="1" t="s">
        <v>28</v>
      </c>
      <c r="C38" s="1" t="s">
        <v>6</v>
      </c>
      <c r="D38" s="1">
        <v>45</v>
      </c>
      <c r="E38" s="13">
        <v>504</v>
      </c>
    </row>
    <row r="39" spans="1:5" x14ac:dyDescent="0.25">
      <c r="A39" s="1" t="s">
        <v>8</v>
      </c>
      <c r="B39" s="1" t="s">
        <v>29</v>
      </c>
      <c r="C39" s="1" t="s">
        <v>7</v>
      </c>
      <c r="D39" s="1">
        <v>15</v>
      </c>
      <c r="E39" s="13">
        <v>448</v>
      </c>
    </row>
    <row r="40" spans="1:5" x14ac:dyDescent="0.25">
      <c r="A40" s="1" t="s">
        <v>8</v>
      </c>
      <c r="B40" s="1" t="s">
        <v>29</v>
      </c>
      <c r="C40" s="1" t="s">
        <v>10</v>
      </c>
      <c r="D40" s="1">
        <v>5</v>
      </c>
      <c r="E40" s="13">
        <v>684</v>
      </c>
    </row>
    <row r="41" spans="1:5" x14ac:dyDescent="0.25">
      <c r="A41" s="1" t="s">
        <v>30</v>
      </c>
      <c r="B41" s="1" t="s">
        <v>31</v>
      </c>
      <c r="C41" s="1" t="s">
        <v>11</v>
      </c>
      <c r="D41" s="1">
        <v>15</v>
      </c>
      <c r="E41" s="13">
        <v>3125</v>
      </c>
    </row>
    <row r="42" spans="1:5" x14ac:dyDescent="0.25">
      <c r="A42" s="1" t="s">
        <v>30</v>
      </c>
      <c r="B42" s="1" t="s">
        <v>31</v>
      </c>
      <c r="C42" s="1" t="s">
        <v>6</v>
      </c>
      <c r="D42" s="1">
        <v>45</v>
      </c>
      <c r="E42" s="13">
        <v>378</v>
      </c>
    </row>
    <row r="43" spans="1:5" x14ac:dyDescent="0.25">
      <c r="A43" s="1" t="s">
        <v>30</v>
      </c>
      <c r="B43" s="1" t="s">
        <v>32</v>
      </c>
      <c r="C43" s="1" t="s">
        <v>7</v>
      </c>
      <c r="D43" s="1">
        <v>15</v>
      </c>
      <c r="E43" s="13">
        <v>210</v>
      </c>
    </row>
    <row r="44" spans="1:5" x14ac:dyDescent="0.25">
      <c r="A44" s="1" t="s">
        <v>30</v>
      </c>
      <c r="B44" s="1" t="s">
        <v>32</v>
      </c>
      <c r="C44" s="1" t="s">
        <v>10</v>
      </c>
      <c r="D44" s="1">
        <v>5</v>
      </c>
      <c r="E44" s="13">
        <v>276</v>
      </c>
    </row>
    <row r="45" spans="1:5" x14ac:dyDescent="0.25">
      <c r="A45" s="1" t="s">
        <v>4</v>
      </c>
      <c r="B45" s="1" t="s">
        <v>33</v>
      </c>
      <c r="C45" s="1" t="s">
        <v>11</v>
      </c>
      <c r="D45" s="1">
        <v>15</v>
      </c>
      <c r="E45" s="13">
        <v>400</v>
      </c>
    </row>
    <row r="46" spans="1:5" x14ac:dyDescent="0.25">
      <c r="A46" s="1" t="s">
        <v>4</v>
      </c>
      <c r="B46" s="1" t="s">
        <v>33</v>
      </c>
      <c r="C46" s="1" t="s">
        <v>6</v>
      </c>
      <c r="D46" s="1">
        <v>45</v>
      </c>
      <c r="E46" s="13">
        <v>372</v>
      </c>
    </row>
    <row r="47" spans="1:5" x14ac:dyDescent="0.25">
      <c r="A47" s="1" t="s">
        <v>4</v>
      </c>
      <c r="B47" s="1" t="s">
        <v>33</v>
      </c>
      <c r="C47" s="1" t="s">
        <v>7</v>
      </c>
      <c r="D47" s="1">
        <v>15</v>
      </c>
      <c r="E47" s="13">
        <v>336</v>
      </c>
    </row>
    <row r="48" spans="1:5" x14ac:dyDescent="0.25">
      <c r="A48" s="1" t="s">
        <v>8</v>
      </c>
      <c r="B48" s="1" t="s">
        <v>34</v>
      </c>
      <c r="C48" s="1" t="s">
        <v>10</v>
      </c>
      <c r="D48" s="1">
        <v>5</v>
      </c>
      <c r="E48" s="13">
        <v>194.5</v>
      </c>
    </row>
    <row r="49" spans="1:5" x14ac:dyDescent="0.25">
      <c r="A49" s="1" t="s">
        <v>8</v>
      </c>
      <c r="B49" s="1" t="s">
        <v>35</v>
      </c>
      <c r="C49" s="1" t="s">
        <v>11</v>
      </c>
      <c r="D49" s="1">
        <v>15</v>
      </c>
      <c r="E49" s="13">
        <v>224</v>
      </c>
    </row>
    <row r="50" spans="1:5" x14ac:dyDescent="0.25">
      <c r="A50" s="1" t="s">
        <v>8</v>
      </c>
      <c r="B50" s="1" t="s">
        <v>35</v>
      </c>
      <c r="C50" s="1" t="s">
        <v>6</v>
      </c>
      <c r="D50" s="1">
        <v>45</v>
      </c>
      <c r="E50" s="13">
        <v>281.60000000000002</v>
      </c>
    </row>
    <row r="51" spans="1:5" x14ac:dyDescent="0.25">
      <c r="A51" s="1" t="s">
        <v>8</v>
      </c>
      <c r="B51" s="1" t="s">
        <v>35</v>
      </c>
      <c r="C51" s="1" t="s">
        <v>7</v>
      </c>
      <c r="D51" s="1">
        <v>15</v>
      </c>
      <c r="E51" s="13">
        <v>1050</v>
      </c>
    </row>
    <row r="52" spans="1:5" x14ac:dyDescent="0.25">
      <c r="A52" s="1" t="s">
        <v>4</v>
      </c>
      <c r="B52" s="1" t="s">
        <v>36</v>
      </c>
      <c r="C52" s="1" t="s">
        <v>10</v>
      </c>
      <c r="D52" s="1">
        <v>5</v>
      </c>
      <c r="E52" s="13">
        <v>480</v>
      </c>
    </row>
    <row r="53" spans="1:5" x14ac:dyDescent="0.25">
      <c r="A53" s="1" t="s">
        <v>30</v>
      </c>
      <c r="B53" s="1" t="s">
        <v>37</v>
      </c>
      <c r="C53" s="1" t="s">
        <v>11</v>
      </c>
      <c r="D53" s="1">
        <v>15</v>
      </c>
      <c r="E53" s="13">
        <v>406.25</v>
      </c>
    </row>
    <row r="54" spans="1:5" x14ac:dyDescent="0.25">
      <c r="A54" s="1" t="s">
        <v>30</v>
      </c>
      <c r="B54" s="1" t="s">
        <v>37</v>
      </c>
      <c r="C54" s="1" t="s">
        <v>6</v>
      </c>
      <c r="D54" s="1">
        <v>45</v>
      </c>
      <c r="E54" s="13">
        <v>1250</v>
      </c>
    </row>
    <row r="55" spans="1:5" x14ac:dyDescent="0.25">
      <c r="A55" s="1" t="s">
        <v>30</v>
      </c>
      <c r="B55" s="1" t="s">
        <v>38</v>
      </c>
      <c r="C55" s="1" t="s">
        <v>7</v>
      </c>
      <c r="D55" s="1">
        <v>15</v>
      </c>
      <c r="E55" s="13">
        <v>570</v>
      </c>
    </row>
    <row r="56" spans="1:5" x14ac:dyDescent="0.25">
      <c r="A56" s="1" t="s">
        <v>30</v>
      </c>
      <c r="B56" s="1" t="s">
        <v>38</v>
      </c>
      <c r="C56" s="1" t="s">
        <v>10</v>
      </c>
      <c r="D56" s="1">
        <v>5</v>
      </c>
      <c r="E56" s="13">
        <v>190</v>
      </c>
    </row>
    <row r="57" spans="1:5" x14ac:dyDescent="0.25">
      <c r="A57" s="1" t="s">
        <v>30</v>
      </c>
      <c r="B57" s="1" t="s">
        <v>38</v>
      </c>
      <c r="C57" s="1" t="s">
        <v>11</v>
      </c>
      <c r="D57" s="1">
        <v>15</v>
      </c>
      <c r="E57" s="13">
        <v>522</v>
      </c>
    </row>
    <row r="58" spans="1:5" x14ac:dyDescent="0.25">
      <c r="A58" s="1" t="s">
        <v>30</v>
      </c>
      <c r="B58" s="1" t="s">
        <v>39</v>
      </c>
      <c r="C58" s="1" t="s">
        <v>6</v>
      </c>
      <c r="D58" s="1">
        <v>45</v>
      </c>
      <c r="E58" s="13">
        <v>15.5</v>
      </c>
    </row>
    <row r="59" spans="1:5" x14ac:dyDescent="0.25">
      <c r="A59" s="1" t="s">
        <v>30</v>
      </c>
      <c r="B59" s="1" t="s">
        <v>39</v>
      </c>
      <c r="C59" s="1" t="s">
        <v>7</v>
      </c>
      <c r="D59" s="1">
        <v>15</v>
      </c>
      <c r="E59" s="13">
        <v>2088</v>
      </c>
    </row>
    <row r="60" spans="1:5" x14ac:dyDescent="0.25">
      <c r="A60" s="1" t="s">
        <v>30</v>
      </c>
      <c r="B60" s="1" t="s">
        <v>39</v>
      </c>
      <c r="C60" s="1" t="s">
        <v>10</v>
      </c>
      <c r="D60" s="1">
        <v>5</v>
      </c>
      <c r="E60" s="13">
        <v>223.5</v>
      </c>
    </row>
    <row r="61" spans="1:5" x14ac:dyDescent="0.25">
      <c r="A61" s="1" t="s">
        <v>30</v>
      </c>
      <c r="B61" s="1" t="s">
        <v>40</v>
      </c>
      <c r="C61" s="1" t="s">
        <v>11</v>
      </c>
      <c r="D61" s="1">
        <v>15</v>
      </c>
      <c r="E61" s="13">
        <v>1093.05</v>
      </c>
    </row>
    <row r="62" spans="1:5" x14ac:dyDescent="0.25">
      <c r="A62" s="1" t="s">
        <v>30</v>
      </c>
      <c r="B62" s="1" t="s">
        <v>40</v>
      </c>
      <c r="C62" s="1" t="s">
        <v>6</v>
      </c>
      <c r="D62" s="1">
        <v>45</v>
      </c>
      <c r="E62" s="13">
        <v>684</v>
      </c>
    </row>
    <row r="73" spans="6:6" x14ac:dyDescent="0.25">
      <c r="F73" s="17">
        <f>SUM(E41:E42)</f>
        <v>3503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7684-99B8-48DC-916D-F08F77480A3B}">
  <sheetPr codeName="Sheet1"/>
  <dimension ref="A1:X28"/>
  <sheetViews>
    <sheetView showGridLines="0" showRowColHeaders="0" workbookViewId="0">
      <selection activeCell="J27" sqref="J27"/>
    </sheetView>
  </sheetViews>
  <sheetFormatPr defaultRowHeight="15" x14ac:dyDescent="0.25"/>
  <cols>
    <col min="20" max="20" width="1.42578125" customWidth="1"/>
  </cols>
  <sheetData>
    <row r="1" spans="1:24" ht="29.25" customHeight="1" x14ac:dyDescent="0.5">
      <c r="A1" s="4"/>
      <c r="B1" s="4"/>
      <c r="C1" s="4"/>
      <c r="D1" s="5"/>
      <c r="E1" s="5"/>
      <c r="F1" s="5"/>
      <c r="G1" s="5"/>
      <c r="H1" s="5"/>
      <c r="I1" s="5"/>
      <c r="J1" s="5"/>
      <c r="K1" s="5"/>
      <c r="L1" s="5"/>
      <c r="M1" s="5"/>
      <c r="N1" s="5"/>
      <c r="O1" s="5"/>
      <c r="P1" s="5"/>
      <c r="Q1" s="5"/>
      <c r="R1" s="5"/>
      <c r="S1" s="4"/>
      <c r="T1" s="4"/>
      <c r="U1" s="4"/>
      <c r="V1" s="4"/>
      <c r="W1" s="4"/>
      <c r="X1" s="4"/>
    </row>
    <row r="2" spans="1:24" ht="52.5" customHeight="1" x14ac:dyDescent="0.5">
      <c r="A2" s="4"/>
      <c r="B2" s="4"/>
      <c r="C2" s="4"/>
      <c r="D2" s="5"/>
      <c r="E2" s="5"/>
      <c r="F2" s="5"/>
      <c r="G2" s="5"/>
      <c r="H2" s="5"/>
      <c r="I2" s="5"/>
      <c r="J2" s="5"/>
      <c r="K2" s="5"/>
      <c r="L2" s="5"/>
      <c r="M2" s="5"/>
      <c r="N2" s="5"/>
      <c r="O2" s="5"/>
      <c r="P2" s="5"/>
      <c r="Q2" s="5"/>
      <c r="R2" s="5"/>
      <c r="S2" s="4"/>
      <c r="T2" s="4"/>
      <c r="U2" s="4"/>
      <c r="V2" s="4"/>
      <c r="W2" s="4"/>
      <c r="X2" s="4"/>
    </row>
    <row r="3" spans="1:24" ht="31.5" x14ac:dyDescent="0.5">
      <c r="A3" s="4"/>
      <c r="B3" s="4"/>
      <c r="C3" s="4"/>
      <c r="D3" s="5"/>
      <c r="E3" s="5"/>
      <c r="F3" s="5"/>
      <c r="G3" s="5"/>
      <c r="H3" s="5"/>
      <c r="I3" s="5"/>
      <c r="J3" s="5"/>
      <c r="K3" s="5"/>
      <c r="L3" s="5"/>
      <c r="M3" s="5"/>
      <c r="N3" s="5"/>
      <c r="O3" s="5"/>
      <c r="P3" s="5"/>
      <c r="Q3" s="5"/>
      <c r="R3" s="5"/>
      <c r="S3" s="4"/>
      <c r="T3" s="4"/>
      <c r="U3" s="4"/>
      <c r="V3" s="4"/>
      <c r="W3" s="4"/>
      <c r="X3" s="4"/>
    </row>
    <row r="4" spans="1:24" x14ac:dyDescent="0.25">
      <c r="A4" s="4"/>
      <c r="B4" s="4"/>
      <c r="C4" s="4"/>
      <c r="D4" s="4"/>
      <c r="E4" s="4"/>
      <c r="F4" s="4"/>
      <c r="G4" s="4"/>
      <c r="H4" s="4"/>
      <c r="I4" s="4"/>
      <c r="J4" s="4"/>
      <c r="K4" s="4"/>
      <c r="L4" s="4"/>
      <c r="M4" s="4"/>
      <c r="N4" s="4"/>
      <c r="O4" s="4"/>
      <c r="P4" s="4"/>
      <c r="Q4" s="4"/>
      <c r="R4" s="4"/>
      <c r="S4" s="4"/>
      <c r="T4" s="4"/>
      <c r="U4" s="4"/>
      <c r="V4" s="4"/>
      <c r="W4" s="4"/>
      <c r="X4" s="4"/>
    </row>
    <row r="5" spans="1:24" x14ac:dyDescent="0.25">
      <c r="A5" s="4"/>
      <c r="B5" s="4"/>
      <c r="C5" s="4"/>
      <c r="D5" s="4"/>
      <c r="E5" s="4"/>
      <c r="F5" s="4"/>
      <c r="G5" s="4"/>
      <c r="H5" s="4"/>
      <c r="I5" s="4"/>
      <c r="J5" s="4"/>
      <c r="K5" s="4"/>
      <c r="L5" s="4"/>
      <c r="M5" s="4"/>
      <c r="N5" s="4"/>
      <c r="O5" s="4"/>
      <c r="P5" s="4"/>
      <c r="Q5" s="4"/>
      <c r="R5" s="4"/>
      <c r="S5" s="4"/>
      <c r="T5" s="4"/>
      <c r="U5" s="4"/>
      <c r="V5" s="4"/>
      <c r="W5" s="4"/>
      <c r="X5" s="4"/>
    </row>
    <row r="6" spans="1:24" x14ac:dyDescent="0.25">
      <c r="A6" s="4"/>
      <c r="B6" s="4"/>
      <c r="C6" s="4"/>
      <c r="D6" s="4"/>
      <c r="E6" s="4"/>
      <c r="F6" s="4"/>
      <c r="G6" s="4"/>
      <c r="H6" s="4"/>
      <c r="I6" s="4"/>
      <c r="J6" s="4"/>
      <c r="K6" s="4"/>
      <c r="L6" s="4"/>
      <c r="M6" s="4"/>
      <c r="N6" s="4"/>
      <c r="O6" s="4"/>
      <c r="P6" s="4"/>
      <c r="Q6" s="4"/>
      <c r="R6" s="4"/>
      <c r="S6" s="4"/>
      <c r="T6" s="4"/>
      <c r="U6" s="4"/>
      <c r="V6" s="4"/>
      <c r="W6" s="4"/>
      <c r="X6" s="4"/>
    </row>
    <row r="7" spans="1:24" x14ac:dyDescent="0.25">
      <c r="A7" s="4"/>
      <c r="B7" s="4"/>
      <c r="C7" s="4"/>
      <c r="D7" s="4"/>
      <c r="E7" s="4"/>
      <c r="F7" s="4"/>
      <c r="G7" s="4"/>
      <c r="H7" s="4"/>
      <c r="I7" s="4"/>
      <c r="J7" s="4"/>
      <c r="K7" s="4"/>
      <c r="L7" s="4"/>
      <c r="M7" s="4"/>
      <c r="N7" s="4"/>
      <c r="O7" s="4"/>
      <c r="P7" s="4"/>
      <c r="Q7" s="4"/>
      <c r="R7" s="4"/>
      <c r="S7" s="4"/>
      <c r="T7" s="4"/>
      <c r="U7" s="4"/>
      <c r="V7" s="4"/>
      <c r="W7" s="4"/>
      <c r="X7" s="4"/>
    </row>
    <row r="8" spans="1:24" x14ac:dyDescent="0.25">
      <c r="A8" s="4"/>
      <c r="B8" s="4"/>
      <c r="C8" s="4"/>
      <c r="D8" s="4"/>
      <c r="E8" s="4"/>
      <c r="F8" s="4"/>
      <c r="G8" s="4"/>
      <c r="H8" s="4"/>
      <c r="I8" s="4"/>
      <c r="J8" s="4"/>
      <c r="K8" s="4"/>
      <c r="L8" s="4"/>
      <c r="M8" s="4"/>
      <c r="N8" s="4"/>
      <c r="O8" s="4"/>
      <c r="P8" s="4"/>
      <c r="Q8" s="4"/>
      <c r="R8" s="4"/>
      <c r="S8" s="4"/>
      <c r="T8" s="4"/>
      <c r="U8" s="4"/>
      <c r="V8" s="4"/>
      <c r="W8" s="4"/>
      <c r="X8" s="4"/>
    </row>
    <row r="9" spans="1:24" x14ac:dyDescent="0.25">
      <c r="A9" s="4"/>
      <c r="B9" s="4"/>
      <c r="C9" s="4"/>
      <c r="D9" s="4"/>
      <c r="E9" s="4"/>
      <c r="F9" s="4"/>
      <c r="G9" s="4"/>
      <c r="H9" s="4"/>
      <c r="I9" s="4"/>
      <c r="J9" s="4"/>
      <c r="K9" s="4"/>
      <c r="L9" s="4"/>
      <c r="M9" s="4"/>
      <c r="N9" s="4"/>
      <c r="O9" s="4"/>
      <c r="P9" s="4"/>
      <c r="Q9" s="4"/>
      <c r="R9" s="4"/>
      <c r="S9" s="4"/>
      <c r="T9" s="4"/>
      <c r="U9" s="4"/>
      <c r="V9" s="4"/>
      <c r="W9" s="4"/>
      <c r="X9" s="4"/>
    </row>
    <row r="10" spans="1:24" x14ac:dyDescent="0.25">
      <c r="A10" s="4"/>
      <c r="B10" s="4"/>
      <c r="C10" s="4"/>
      <c r="D10" s="4"/>
      <c r="E10" s="4"/>
      <c r="F10" s="4"/>
      <c r="G10" s="4"/>
      <c r="H10" s="4"/>
      <c r="I10" s="4"/>
      <c r="J10" s="4"/>
      <c r="K10" s="4"/>
      <c r="L10" s="4"/>
      <c r="M10" s="4"/>
      <c r="N10" s="4"/>
      <c r="O10" s="4"/>
      <c r="P10" s="4"/>
      <c r="Q10" s="4"/>
      <c r="R10" s="4"/>
      <c r="S10" s="4"/>
      <c r="T10" s="4"/>
      <c r="U10" s="4"/>
      <c r="V10" s="4"/>
      <c r="W10" s="4"/>
      <c r="X10" s="4"/>
    </row>
    <row r="11" spans="1:24" x14ac:dyDescent="0.25">
      <c r="A11" s="4"/>
      <c r="B11" s="4"/>
      <c r="C11" s="4"/>
      <c r="D11" s="4"/>
      <c r="E11" s="4"/>
      <c r="F11" s="4"/>
      <c r="G11" s="4"/>
      <c r="H11" s="4"/>
      <c r="I11" s="4"/>
      <c r="J11" s="4"/>
      <c r="K11" s="4"/>
      <c r="L11" s="4"/>
      <c r="M11" s="4"/>
      <c r="N11" s="4"/>
      <c r="O11" s="4"/>
      <c r="P11" s="4"/>
      <c r="Q11" s="4"/>
      <c r="R11" s="4"/>
      <c r="S11" s="4"/>
      <c r="T11" s="4"/>
      <c r="U11" s="4"/>
      <c r="V11" s="4"/>
      <c r="W11" s="4"/>
      <c r="X11" s="4"/>
    </row>
    <row r="12" spans="1:24" x14ac:dyDescent="0.25">
      <c r="A12" s="4"/>
      <c r="B12" s="4"/>
      <c r="C12" s="4"/>
      <c r="D12" s="4"/>
      <c r="E12" s="4"/>
      <c r="F12" s="4"/>
      <c r="G12" s="4"/>
      <c r="H12" s="4"/>
      <c r="I12" s="4"/>
      <c r="J12" s="4"/>
      <c r="K12" s="4"/>
      <c r="L12" s="4"/>
      <c r="M12" s="4"/>
      <c r="N12" s="4"/>
      <c r="O12" s="4"/>
      <c r="P12" s="4"/>
      <c r="Q12" s="4"/>
      <c r="R12" s="4"/>
      <c r="S12" s="4"/>
      <c r="T12" s="4"/>
      <c r="U12" s="4"/>
      <c r="V12" s="4"/>
      <c r="W12" s="4"/>
      <c r="X12" s="4"/>
    </row>
    <row r="13" spans="1:24" x14ac:dyDescent="0.25">
      <c r="A13" s="4"/>
      <c r="B13" s="4"/>
      <c r="C13" s="4"/>
      <c r="D13" s="4"/>
      <c r="E13" s="4"/>
      <c r="F13" s="4"/>
      <c r="G13" s="4"/>
      <c r="H13" s="4"/>
      <c r="I13" s="4"/>
      <c r="J13" s="4"/>
      <c r="K13" s="4"/>
      <c r="L13" s="4"/>
      <c r="M13" s="4"/>
      <c r="N13" s="4"/>
      <c r="O13" s="4"/>
      <c r="P13" s="4"/>
      <c r="Q13" s="4"/>
      <c r="R13" s="4"/>
      <c r="S13" s="4"/>
      <c r="T13" s="4"/>
      <c r="U13" s="4"/>
      <c r="V13" s="4"/>
      <c r="W13" s="4"/>
      <c r="X13" s="4"/>
    </row>
    <row r="14" spans="1:24" x14ac:dyDescent="0.25">
      <c r="A14" s="4"/>
      <c r="B14" s="4"/>
      <c r="C14" s="4"/>
      <c r="D14" s="4"/>
      <c r="E14" s="4"/>
      <c r="F14" s="4"/>
      <c r="G14" s="4"/>
      <c r="H14" s="4"/>
      <c r="I14" s="4"/>
      <c r="J14" s="4"/>
      <c r="K14" s="4"/>
      <c r="L14" s="4"/>
      <c r="M14" s="4"/>
      <c r="N14" s="4"/>
      <c r="O14" s="4"/>
      <c r="P14" s="4"/>
      <c r="Q14" s="4"/>
      <c r="R14" s="4"/>
      <c r="S14" s="4"/>
      <c r="T14" s="4"/>
      <c r="U14" s="4"/>
      <c r="V14" s="4"/>
      <c r="W14" s="4"/>
      <c r="X14" s="4"/>
    </row>
    <row r="15" spans="1:24" x14ac:dyDescent="0.25">
      <c r="A15" s="4"/>
      <c r="B15" s="4"/>
      <c r="C15" s="4"/>
      <c r="D15" s="4"/>
      <c r="E15" s="4"/>
      <c r="F15" s="4"/>
      <c r="G15" s="4"/>
      <c r="H15" s="4"/>
      <c r="I15" s="4"/>
      <c r="J15" s="4"/>
      <c r="K15" s="4"/>
      <c r="L15" s="4"/>
      <c r="M15" s="4"/>
      <c r="N15" s="4"/>
      <c r="O15" s="4"/>
      <c r="P15" s="4"/>
      <c r="Q15" s="4"/>
      <c r="R15" s="4"/>
      <c r="S15" s="4"/>
      <c r="T15" s="4"/>
      <c r="U15" s="4"/>
      <c r="V15" s="4"/>
      <c r="W15" s="4"/>
      <c r="X15" s="4"/>
    </row>
    <row r="16" spans="1:24" x14ac:dyDescent="0.25">
      <c r="A16" s="4"/>
      <c r="B16" s="4"/>
      <c r="C16" s="4"/>
      <c r="D16" s="4"/>
      <c r="E16" s="4"/>
      <c r="F16" s="4"/>
      <c r="G16" s="4"/>
      <c r="H16" s="4"/>
      <c r="I16" s="4"/>
      <c r="J16" s="4"/>
      <c r="K16" s="4"/>
      <c r="L16" s="4"/>
      <c r="M16" s="4"/>
      <c r="N16" s="4"/>
      <c r="O16" s="4"/>
      <c r="P16" s="4"/>
      <c r="Q16" s="4"/>
      <c r="R16" s="4"/>
      <c r="S16" s="4"/>
      <c r="T16" s="4"/>
      <c r="U16" s="4"/>
      <c r="V16" s="4"/>
      <c r="W16" s="4"/>
      <c r="X16" s="4"/>
    </row>
    <row r="17" spans="1:24" x14ac:dyDescent="0.25">
      <c r="A17" s="4"/>
      <c r="B17" s="4"/>
      <c r="C17" s="4"/>
      <c r="D17" s="4"/>
      <c r="E17" s="4"/>
      <c r="F17" s="4"/>
      <c r="G17" s="4"/>
      <c r="H17" s="4"/>
      <c r="I17" s="4"/>
      <c r="J17" s="4"/>
      <c r="K17" s="4"/>
      <c r="L17" s="4"/>
      <c r="M17" s="4"/>
      <c r="N17" s="4"/>
      <c r="O17" s="4"/>
      <c r="P17" s="4"/>
      <c r="Q17" s="4"/>
      <c r="R17" s="4"/>
      <c r="S17" s="4"/>
      <c r="T17" s="4"/>
      <c r="U17" s="4"/>
      <c r="V17" s="4"/>
      <c r="W17" s="4"/>
      <c r="X17" s="4"/>
    </row>
    <row r="18" spans="1:24" x14ac:dyDescent="0.25">
      <c r="A18" s="4"/>
      <c r="B18" s="4"/>
      <c r="C18" s="4"/>
      <c r="D18" s="4"/>
      <c r="E18" s="4"/>
      <c r="F18" s="4"/>
      <c r="G18" s="4"/>
      <c r="H18" s="4"/>
      <c r="I18" s="4"/>
      <c r="J18" s="4"/>
      <c r="K18" s="4"/>
      <c r="L18" s="4"/>
      <c r="M18" s="4"/>
      <c r="N18" s="4"/>
      <c r="O18" s="4"/>
      <c r="P18" s="4"/>
      <c r="Q18" s="4"/>
      <c r="R18" s="4"/>
      <c r="S18" s="4"/>
      <c r="T18" s="4"/>
      <c r="U18" s="4"/>
      <c r="V18" s="4"/>
      <c r="W18" s="4"/>
      <c r="X18" s="4"/>
    </row>
    <row r="19" spans="1:24" x14ac:dyDescent="0.25">
      <c r="A19" s="4"/>
      <c r="B19" s="4"/>
      <c r="C19" s="4"/>
      <c r="D19" s="4"/>
      <c r="E19" s="4"/>
      <c r="F19" s="4"/>
      <c r="G19" s="4"/>
      <c r="H19" s="4"/>
      <c r="I19" s="4"/>
      <c r="J19" s="4"/>
      <c r="K19" s="4"/>
      <c r="L19" s="4"/>
      <c r="M19" s="4"/>
      <c r="N19" s="4"/>
      <c r="O19" s="4"/>
      <c r="P19" s="4"/>
      <c r="Q19" s="4"/>
      <c r="R19" s="4"/>
      <c r="S19" s="4"/>
      <c r="T19" s="4"/>
      <c r="U19" s="4"/>
      <c r="V19" s="4"/>
      <c r="W19" s="4"/>
      <c r="X19" s="4"/>
    </row>
    <row r="20" spans="1:24" x14ac:dyDescent="0.25">
      <c r="A20" s="4"/>
      <c r="B20" s="4"/>
      <c r="C20" s="4"/>
      <c r="D20" s="4"/>
      <c r="E20" s="4"/>
      <c r="F20" s="4"/>
      <c r="G20" s="4"/>
      <c r="H20" s="4"/>
      <c r="I20" s="4"/>
      <c r="J20" s="4"/>
      <c r="K20" s="4"/>
      <c r="L20" s="4"/>
      <c r="M20" s="4"/>
      <c r="N20" s="4"/>
      <c r="O20" s="4"/>
      <c r="P20" s="4"/>
      <c r="Q20" s="4"/>
      <c r="R20" s="4"/>
      <c r="S20" s="4"/>
      <c r="T20" s="4"/>
      <c r="U20" s="4"/>
      <c r="V20" s="4"/>
      <c r="W20" s="4"/>
      <c r="X20" s="4"/>
    </row>
    <row r="21" spans="1:24" x14ac:dyDescent="0.25">
      <c r="A21" s="4"/>
      <c r="B21" s="4"/>
      <c r="C21" s="4"/>
      <c r="D21" s="4"/>
      <c r="E21" s="4"/>
      <c r="F21" s="4"/>
      <c r="G21" s="4"/>
      <c r="H21" s="4"/>
      <c r="I21" s="4"/>
      <c r="J21" s="4"/>
      <c r="K21" s="4"/>
      <c r="L21" s="4"/>
      <c r="M21" s="4"/>
      <c r="N21" s="4"/>
      <c r="O21" s="4"/>
      <c r="P21" s="4"/>
      <c r="Q21" s="4"/>
      <c r="R21" s="4"/>
      <c r="S21" s="4"/>
      <c r="T21" s="4"/>
      <c r="U21" s="4"/>
      <c r="V21" s="4"/>
      <c r="W21" s="4"/>
      <c r="X21" s="4"/>
    </row>
    <row r="22" spans="1:24" x14ac:dyDescent="0.25">
      <c r="A22" s="4"/>
      <c r="B22" s="4"/>
      <c r="C22" s="4"/>
      <c r="D22" s="4"/>
      <c r="E22" s="4"/>
      <c r="F22" s="4"/>
      <c r="G22" s="4"/>
      <c r="H22" s="4"/>
      <c r="I22" s="4"/>
      <c r="J22" s="4"/>
      <c r="K22" s="4"/>
      <c r="L22" s="4"/>
      <c r="M22" s="4"/>
      <c r="N22" s="4"/>
      <c r="O22" s="4"/>
      <c r="P22" s="4"/>
      <c r="Q22" s="4"/>
      <c r="R22" s="4"/>
      <c r="S22" s="4"/>
      <c r="T22" s="4"/>
      <c r="U22" s="4"/>
      <c r="V22" s="4"/>
      <c r="W22" s="4"/>
      <c r="X22" s="4"/>
    </row>
    <row r="23" spans="1:24" x14ac:dyDescent="0.25">
      <c r="A23" s="4"/>
      <c r="B23" s="4"/>
      <c r="C23" s="4"/>
      <c r="D23" s="4"/>
      <c r="E23" s="4"/>
      <c r="F23" s="4"/>
      <c r="G23" s="4"/>
      <c r="H23" s="4"/>
      <c r="I23" s="4"/>
      <c r="J23" s="4"/>
      <c r="K23" s="4"/>
      <c r="L23" s="4"/>
      <c r="M23" s="4"/>
      <c r="N23" s="4"/>
      <c r="O23" s="4"/>
      <c r="P23" s="4"/>
      <c r="Q23" s="4"/>
      <c r="R23" s="4"/>
      <c r="S23" s="4"/>
      <c r="T23" s="4"/>
      <c r="U23" s="4"/>
      <c r="V23" s="4"/>
      <c r="W23" s="4"/>
      <c r="X23" s="4"/>
    </row>
    <row r="24" spans="1:24" x14ac:dyDescent="0.25">
      <c r="A24" s="4"/>
      <c r="B24" s="4"/>
      <c r="C24" s="4"/>
      <c r="D24" s="4"/>
      <c r="E24" s="4"/>
      <c r="F24" s="4"/>
      <c r="G24" s="4"/>
      <c r="H24" s="4"/>
      <c r="I24" s="4"/>
      <c r="J24" s="4"/>
      <c r="K24" s="4"/>
      <c r="L24" s="4"/>
      <c r="M24" s="4"/>
      <c r="N24" s="4"/>
      <c r="O24" s="4"/>
      <c r="P24" s="4"/>
      <c r="Q24" s="4"/>
      <c r="R24" s="4"/>
      <c r="S24" s="4"/>
      <c r="T24" s="4"/>
      <c r="U24" s="4"/>
      <c r="V24" s="4"/>
      <c r="W24" s="4"/>
      <c r="X24" s="4"/>
    </row>
    <row r="25" spans="1:24" x14ac:dyDescent="0.25">
      <c r="A25" s="4"/>
      <c r="B25" s="4"/>
      <c r="C25" s="4"/>
      <c r="D25" s="4"/>
      <c r="E25" s="4"/>
      <c r="F25" s="4"/>
      <c r="G25" s="4"/>
      <c r="H25" s="4"/>
      <c r="I25" s="4"/>
      <c r="J25" s="4"/>
      <c r="K25" s="4"/>
      <c r="L25" s="4"/>
      <c r="M25" s="4"/>
      <c r="N25" s="4"/>
      <c r="O25" s="4"/>
      <c r="P25" s="4"/>
      <c r="Q25" s="4"/>
      <c r="R25" s="4"/>
      <c r="S25" s="4"/>
      <c r="T25" s="4"/>
      <c r="U25" s="4"/>
      <c r="V25" s="4"/>
      <c r="W25" s="4"/>
      <c r="X25" s="4"/>
    </row>
    <row r="26" spans="1:24" x14ac:dyDescent="0.25">
      <c r="A26" s="4"/>
      <c r="B26" s="4"/>
      <c r="C26" s="4"/>
      <c r="D26" s="4"/>
      <c r="E26" s="4"/>
      <c r="F26" s="4"/>
      <c r="G26" s="4"/>
      <c r="H26" s="4"/>
      <c r="I26" s="4"/>
      <c r="J26" s="4"/>
      <c r="K26" s="4"/>
      <c r="L26" s="4"/>
      <c r="M26" s="4"/>
      <c r="N26" s="4"/>
      <c r="O26" s="4"/>
      <c r="P26" s="4"/>
      <c r="Q26" s="4"/>
      <c r="R26" s="4"/>
      <c r="S26" s="4"/>
      <c r="T26" s="4"/>
      <c r="U26" s="4"/>
      <c r="V26" s="4"/>
      <c r="W26" s="4"/>
      <c r="X26" s="4"/>
    </row>
    <row r="27" spans="1:24" x14ac:dyDescent="0.25">
      <c r="A27" s="4"/>
      <c r="B27" s="4"/>
      <c r="C27" s="4"/>
      <c r="D27" s="4"/>
      <c r="E27" s="4"/>
      <c r="F27" s="4"/>
      <c r="G27" s="4"/>
      <c r="H27" s="4"/>
      <c r="I27" s="4"/>
      <c r="J27" s="4"/>
      <c r="K27" s="4"/>
      <c r="L27" s="4"/>
      <c r="M27" s="4"/>
      <c r="N27" s="4"/>
      <c r="O27" s="4"/>
      <c r="P27" s="4"/>
      <c r="Q27" s="4"/>
      <c r="R27" s="4"/>
      <c r="S27" s="4"/>
      <c r="T27" s="4"/>
      <c r="U27" s="4"/>
      <c r="V27" s="4"/>
      <c r="W27" s="4"/>
      <c r="X27" s="4"/>
    </row>
    <row r="28" spans="1:24" x14ac:dyDescent="0.25">
      <c r="A28" s="4"/>
      <c r="B28" s="4"/>
      <c r="C28" s="4"/>
      <c r="D28" s="4"/>
      <c r="E28" s="4"/>
      <c r="F28" s="4"/>
      <c r="G28" s="4"/>
      <c r="H28" s="4"/>
      <c r="I28" s="4"/>
      <c r="J28" s="4"/>
      <c r="K28" s="4"/>
      <c r="L28" s="4"/>
      <c r="M28" s="4"/>
      <c r="N28" s="4"/>
      <c r="O28" s="4"/>
      <c r="P28" s="4"/>
      <c r="Q28" s="4"/>
      <c r="R28" s="4"/>
      <c r="S28" s="4"/>
      <c r="T28" s="4"/>
      <c r="U28" s="4"/>
      <c r="V28" s="4"/>
      <c r="W28" s="4"/>
      <c r="X28" s="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261DB-CE1C-4F66-911A-773126DA8F87}">
  <dimension ref="B2:P62"/>
  <sheetViews>
    <sheetView showGridLines="0" topLeftCell="A31" workbookViewId="0">
      <selection activeCell="H40" sqref="H40"/>
    </sheetView>
  </sheetViews>
  <sheetFormatPr defaultRowHeight="15" x14ac:dyDescent="0.25"/>
  <cols>
    <col min="2" max="2" width="18.28515625" customWidth="1"/>
  </cols>
  <sheetData>
    <row r="2" spans="2:13" ht="36.75" x14ac:dyDescent="0.25">
      <c r="B2" s="19" t="s">
        <v>65</v>
      </c>
      <c r="C2" s="16"/>
      <c r="D2" s="16"/>
      <c r="E2" s="16"/>
      <c r="F2" s="16"/>
      <c r="G2" s="16"/>
      <c r="H2" s="16"/>
      <c r="I2" s="16"/>
    </row>
    <row r="4" spans="2:13" ht="24.75" x14ac:dyDescent="0.25">
      <c r="B4" s="6" t="s">
        <v>43</v>
      </c>
    </row>
    <row r="6" spans="2:13" ht="59.25" customHeight="1" x14ac:dyDescent="0.25">
      <c r="B6" s="20" t="s">
        <v>66</v>
      </c>
      <c r="C6" s="20"/>
      <c r="D6" s="20"/>
      <c r="E6" s="20"/>
      <c r="F6" s="20"/>
      <c r="G6" s="20"/>
      <c r="H6" s="20"/>
      <c r="I6" s="20"/>
      <c r="J6" s="20"/>
      <c r="K6" s="20"/>
      <c r="L6" s="20"/>
      <c r="M6" s="20"/>
    </row>
    <row r="8" spans="2:13" ht="24.75" x14ac:dyDescent="0.25">
      <c r="B8" s="6" t="s">
        <v>44</v>
      </c>
    </row>
    <row r="10" spans="2:13" ht="21" x14ac:dyDescent="0.25">
      <c r="B10" s="15" t="s">
        <v>45</v>
      </c>
      <c r="C10" s="18"/>
    </row>
    <row r="11" spans="2:13" ht="17.25" x14ac:dyDescent="0.25">
      <c r="B11" s="9"/>
      <c r="M11" s="7"/>
    </row>
    <row r="12" spans="2:13" ht="21" x14ac:dyDescent="0.25">
      <c r="B12" s="15" t="s">
        <v>64</v>
      </c>
      <c r="C12" s="16"/>
      <c r="D12" s="15" t="s">
        <v>63</v>
      </c>
      <c r="E12" s="16"/>
      <c r="M12" s="7"/>
    </row>
    <row r="13" spans="2:13" ht="21" x14ac:dyDescent="0.25">
      <c r="B13" s="8" t="s">
        <v>7</v>
      </c>
      <c r="D13" s="8">
        <v>10894.6</v>
      </c>
      <c r="M13" s="7"/>
    </row>
    <row r="14" spans="2:13" ht="21" x14ac:dyDescent="0.25">
      <c r="B14" s="8" t="s">
        <v>11</v>
      </c>
      <c r="D14" s="8">
        <v>9191.4499999999989</v>
      </c>
      <c r="M14" s="7"/>
    </row>
    <row r="15" spans="2:13" ht="21" x14ac:dyDescent="0.25">
      <c r="B15" s="8" t="s">
        <v>6</v>
      </c>
      <c r="D15" s="8">
        <v>8143.6</v>
      </c>
      <c r="M15" s="7"/>
    </row>
    <row r="16" spans="2:13" ht="21" x14ac:dyDescent="0.25">
      <c r="B16" s="8" t="s">
        <v>10</v>
      </c>
      <c r="D16" s="8">
        <v>7131.4</v>
      </c>
      <c r="M16" s="7"/>
    </row>
    <row r="17" spans="2:13" ht="17.25" x14ac:dyDescent="0.25">
      <c r="B17" s="9"/>
      <c r="M17" s="7"/>
    </row>
    <row r="18" spans="2:13" ht="21" x14ac:dyDescent="0.25">
      <c r="B18" s="21" t="s">
        <v>67</v>
      </c>
      <c r="C18" s="21"/>
      <c r="D18" s="21"/>
      <c r="E18" s="21"/>
    </row>
    <row r="19" spans="2:13" x14ac:dyDescent="0.25">
      <c r="D19" s="3"/>
    </row>
    <row r="20" spans="2:13" ht="21" x14ac:dyDescent="0.25">
      <c r="B20" s="15" t="s">
        <v>49</v>
      </c>
      <c r="C20" s="18"/>
    </row>
    <row r="21" spans="2:13" x14ac:dyDescent="0.25">
      <c r="B21" s="7"/>
    </row>
    <row r="22" spans="2:13" ht="21" x14ac:dyDescent="0.25">
      <c r="B22" s="15" t="s">
        <v>0</v>
      </c>
      <c r="C22" s="15"/>
      <c r="D22" s="15" t="s">
        <v>63</v>
      </c>
      <c r="E22" s="15"/>
    </row>
    <row r="23" spans="2:13" ht="21" x14ac:dyDescent="0.25">
      <c r="B23" s="8" t="s">
        <v>30</v>
      </c>
      <c r="D23" s="8">
        <v>11031.3</v>
      </c>
      <c r="E23" s="8"/>
    </row>
    <row r="24" spans="2:13" ht="21" x14ac:dyDescent="0.25">
      <c r="B24" s="8" t="s">
        <v>17</v>
      </c>
      <c r="D24" s="8">
        <v>8266.7999999999993</v>
      </c>
      <c r="E24" s="8"/>
    </row>
    <row r="25" spans="2:13" ht="21" x14ac:dyDescent="0.25">
      <c r="B25" s="8" t="s">
        <v>4</v>
      </c>
      <c r="D25" s="8">
        <v>7955.4</v>
      </c>
      <c r="E25" s="8"/>
    </row>
    <row r="26" spans="2:13" ht="21" x14ac:dyDescent="0.25">
      <c r="B26" s="8" t="s">
        <v>8</v>
      </c>
      <c r="D26" s="8">
        <v>8107.55</v>
      </c>
      <c r="E26" s="8"/>
    </row>
    <row r="27" spans="2:13" ht="21" x14ac:dyDescent="0.25">
      <c r="B27" s="8"/>
      <c r="C27" s="8"/>
      <c r="D27" s="8"/>
      <c r="E27" s="8"/>
    </row>
    <row r="28" spans="2:13" ht="21" x14ac:dyDescent="0.25">
      <c r="B28" s="21" t="s">
        <v>68</v>
      </c>
      <c r="C28" s="21"/>
      <c r="D28" s="21"/>
      <c r="E28" s="21"/>
    </row>
    <row r="31" spans="2:13" ht="21" x14ac:dyDescent="0.25">
      <c r="B31" s="15" t="s">
        <v>46</v>
      </c>
      <c r="C31" s="16"/>
      <c r="D31" s="16"/>
    </row>
    <row r="32" spans="2:13" ht="21" x14ac:dyDescent="0.25">
      <c r="B32" s="8"/>
    </row>
    <row r="33" spans="2:16" ht="21" x14ac:dyDescent="0.25">
      <c r="B33" s="15" t="s">
        <v>1</v>
      </c>
      <c r="C33" s="15"/>
      <c r="D33" s="15" t="s">
        <v>63</v>
      </c>
      <c r="E33" s="16"/>
    </row>
    <row r="34" spans="2:16" ht="21" x14ac:dyDescent="0.25">
      <c r="B34" s="8" t="s">
        <v>31</v>
      </c>
      <c r="D34" s="8">
        <v>3503</v>
      </c>
    </row>
    <row r="35" spans="2:16" ht="21" x14ac:dyDescent="0.25">
      <c r="B35" s="8" t="s">
        <v>13</v>
      </c>
      <c r="D35" s="8">
        <v>3032.8999999999996</v>
      </c>
    </row>
    <row r="36" spans="2:16" ht="21" x14ac:dyDescent="0.25">
      <c r="B36" s="8" t="s">
        <v>39</v>
      </c>
      <c r="D36" s="8">
        <v>2327</v>
      </c>
    </row>
    <row r="37" spans="2:16" ht="21" x14ac:dyDescent="0.25">
      <c r="B37" s="8" t="s">
        <v>5</v>
      </c>
      <c r="D37" s="8">
        <v>1778.8</v>
      </c>
    </row>
    <row r="38" spans="2:16" ht="21" x14ac:dyDescent="0.25">
      <c r="B38" s="8" t="s">
        <v>40</v>
      </c>
      <c r="D38" s="8">
        <v>1777.05</v>
      </c>
    </row>
    <row r="39" spans="2:16" ht="21" x14ac:dyDescent="0.25">
      <c r="B39" s="8"/>
    </row>
    <row r="40" spans="2:16" ht="21" x14ac:dyDescent="0.25">
      <c r="B40" s="21" t="s">
        <v>69</v>
      </c>
      <c r="C40" s="21"/>
      <c r="D40" s="21"/>
      <c r="E40" s="21"/>
      <c r="F40" s="22"/>
    </row>
    <row r="41" spans="2:16" ht="17.25" x14ac:dyDescent="0.25">
      <c r="B41" s="9"/>
    </row>
    <row r="42" spans="2:16" ht="17.25" x14ac:dyDescent="0.25">
      <c r="B42" s="9"/>
    </row>
    <row r="43" spans="2:16" ht="24.75" x14ac:dyDescent="0.25">
      <c r="B43" s="6"/>
    </row>
    <row r="44" spans="2:16" x14ac:dyDescent="0.25">
      <c r="B44" s="7"/>
    </row>
    <row r="45" spans="2:16" ht="21" x14ac:dyDescent="0.25">
      <c r="C45" s="8"/>
      <c r="D45" s="8"/>
      <c r="E45" s="8"/>
      <c r="F45" s="8"/>
      <c r="G45" s="8"/>
      <c r="H45" s="8"/>
      <c r="I45" s="8"/>
      <c r="J45" s="8"/>
      <c r="K45" s="8"/>
      <c r="L45" s="8"/>
      <c r="M45" s="8"/>
      <c r="N45" s="8"/>
      <c r="O45" s="8"/>
      <c r="P45" s="8"/>
    </row>
    <row r="46" spans="2:16" ht="21" x14ac:dyDescent="0.25">
      <c r="C46" s="8"/>
      <c r="D46" s="8"/>
      <c r="E46" s="8"/>
      <c r="F46" s="8"/>
      <c r="G46" s="8"/>
      <c r="H46" s="8"/>
      <c r="I46" s="8"/>
      <c r="J46" s="8"/>
      <c r="K46" s="8"/>
      <c r="L46" s="8"/>
      <c r="M46" s="8"/>
      <c r="N46" s="8"/>
      <c r="O46" s="8"/>
      <c r="P46" s="8"/>
    </row>
    <row r="47" spans="2:16" ht="21" x14ac:dyDescent="0.25">
      <c r="C47" s="8"/>
      <c r="D47" s="8"/>
      <c r="E47" s="8"/>
      <c r="F47" s="8"/>
      <c r="G47" s="8"/>
      <c r="H47" s="8"/>
      <c r="I47" s="8"/>
      <c r="J47" s="8"/>
      <c r="K47" s="8"/>
      <c r="L47" s="8"/>
      <c r="M47" s="8"/>
      <c r="N47" s="8"/>
      <c r="O47" s="8"/>
      <c r="P47" s="8"/>
    </row>
    <row r="48" spans="2:16" ht="21" x14ac:dyDescent="0.25">
      <c r="C48" s="8"/>
      <c r="D48" s="8"/>
      <c r="E48" s="8"/>
      <c r="F48" s="8"/>
      <c r="G48" s="8"/>
      <c r="H48" s="8"/>
      <c r="I48" s="8"/>
      <c r="J48" s="8"/>
      <c r="K48" s="8"/>
      <c r="L48" s="8"/>
      <c r="M48" s="8"/>
      <c r="N48" s="8"/>
      <c r="O48" s="8"/>
      <c r="P48" s="8"/>
    </row>
    <row r="49" spans="2:16" ht="21" x14ac:dyDescent="0.25">
      <c r="C49" s="8"/>
      <c r="D49" s="8"/>
      <c r="E49" s="8"/>
      <c r="F49" s="8"/>
      <c r="G49" s="8"/>
      <c r="H49" s="8"/>
      <c r="I49" s="8"/>
      <c r="J49" s="8"/>
      <c r="K49" s="8"/>
      <c r="L49" s="8"/>
      <c r="M49" s="8"/>
      <c r="N49" s="8"/>
      <c r="O49" s="8"/>
      <c r="P49" s="8"/>
    </row>
    <row r="50" spans="2:16" ht="21" x14ac:dyDescent="0.25">
      <c r="C50" s="8"/>
      <c r="D50" s="8"/>
      <c r="E50" s="8"/>
      <c r="F50" s="8"/>
      <c r="G50" s="8"/>
      <c r="H50" s="8"/>
      <c r="I50" s="8"/>
      <c r="J50" s="8"/>
      <c r="K50" s="8"/>
      <c r="L50" s="8"/>
      <c r="M50" s="8"/>
      <c r="N50" s="8"/>
      <c r="O50" s="8"/>
      <c r="P50" s="8"/>
    </row>
    <row r="51" spans="2:16" ht="21" x14ac:dyDescent="0.25">
      <c r="C51" s="8"/>
      <c r="D51" s="8"/>
      <c r="E51" s="8"/>
      <c r="F51" s="8"/>
      <c r="G51" s="8"/>
      <c r="H51" s="8"/>
      <c r="I51" s="8"/>
      <c r="J51" s="8"/>
      <c r="K51" s="8"/>
      <c r="L51" s="8"/>
      <c r="M51" s="8"/>
      <c r="N51" s="8"/>
      <c r="O51" s="8"/>
      <c r="P51" s="8"/>
    </row>
    <row r="52" spans="2:16" ht="21" x14ac:dyDescent="0.25">
      <c r="C52" s="8"/>
      <c r="D52" s="8"/>
      <c r="E52" s="8"/>
      <c r="F52" s="8"/>
      <c r="G52" s="8"/>
      <c r="H52" s="8"/>
      <c r="I52" s="8"/>
      <c r="J52" s="8"/>
      <c r="K52" s="8"/>
      <c r="L52" s="8"/>
      <c r="M52" s="8"/>
      <c r="N52" s="8"/>
      <c r="O52" s="8"/>
      <c r="P52" s="8"/>
    </row>
    <row r="53" spans="2:16" ht="21" x14ac:dyDescent="0.25">
      <c r="C53" s="8"/>
      <c r="D53" s="8"/>
      <c r="E53" s="8"/>
      <c r="F53" s="8"/>
      <c r="G53" s="8"/>
      <c r="H53" s="8"/>
      <c r="I53" s="8"/>
      <c r="J53" s="8"/>
      <c r="K53" s="8"/>
      <c r="L53" s="8"/>
      <c r="M53" s="8"/>
      <c r="N53" s="8"/>
      <c r="O53" s="8"/>
      <c r="P53" s="8"/>
    </row>
    <row r="54" spans="2:16" ht="21" x14ac:dyDescent="0.25">
      <c r="C54" s="8"/>
      <c r="D54" s="8"/>
      <c r="E54" s="8"/>
      <c r="F54" s="8"/>
      <c r="G54" s="8"/>
      <c r="H54" s="8"/>
      <c r="I54" s="8"/>
      <c r="J54" s="8"/>
      <c r="K54" s="8"/>
      <c r="L54" s="8"/>
      <c r="M54" s="8"/>
      <c r="N54" s="8"/>
      <c r="O54" s="8"/>
      <c r="P54" s="8"/>
    </row>
    <row r="55" spans="2:16" ht="21" x14ac:dyDescent="0.25">
      <c r="C55" s="8"/>
      <c r="D55" s="8"/>
      <c r="E55" s="8"/>
      <c r="F55" s="8"/>
      <c r="G55" s="8"/>
      <c r="H55" s="8"/>
      <c r="I55" s="8"/>
      <c r="J55" s="8"/>
      <c r="K55" s="8"/>
      <c r="L55" s="8"/>
      <c r="M55" s="8"/>
      <c r="N55" s="8"/>
      <c r="O55" s="8"/>
      <c r="P55" s="8"/>
    </row>
    <row r="56" spans="2:16" ht="21" x14ac:dyDescent="0.25">
      <c r="C56" s="8"/>
      <c r="D56" s="8"/>
      <c r="E56" s="8"/>
      <c r="F56" s="8"/>
      <c r="G56" s="8"/>
      <c r="H56" s="8"/>
      <c r="I56" s="8"/>
      <c r="J56" s="8"/>
      <c r="K56" s="8"/>
      <c r="L56" s="8"/>
      <c r="M56" s="8"/>
      <c r="N56" s="8"/>
      <c r="O56" s="8"/>
      <c r="P56" s="8"/>
    </row>
    <row r="57" spans="2:16" ht="21" x14ac:dyDescent="0.25">
      <c r="C57" s="8"/>
      <c r="D57" s="8"/>
      <c r="E57" s="8"/>
      <c r="F57" s="8"/>
      <c r="G57" s="8"/>
      <c r="H57" s="8"/>
      <c r="I57" s="8"/>
      <c r="J57" s="8"/>
      <c r="K57" s="8"/>
      <c r="L57" s="8"/>
      <c r="M57" s="8"/>
      <c r="N57" s="8"/>
      <c r="O57" s="8"/>
      <c r="P57" s="8"/>
    </row>
    <row r="58" spans="2:16" ht="21" x14ac:dyDescent="0.25">
      <c r="C58" s="8"/>
      <c r="D58" s="8"/>
      <c r="E58" s="8"/>
      <c r="F58" s="8"/>
      <c r="G58" s="8"/>
      <c r="H58" s="8"/>
      <c r="I58" s="8"/>
      <c r="J58" s="8"/>
      <c r="K58" s="8"/>
      <c r="L58" s="8"/>
      <c r="M58" s="8"/>
      <c r="N58" s="8"/>
      <c r="O58" s="8"/>
      <c r="P58" s="8"/>
    </row>
    <row r="59" spans="2:16" ht="21" x14ac:dyDescent="0.25">
      <c r="C59" s="8"/>
      <c r="D59" s="8"/>
      <c r="E59" s="8"/>
      <c r="F59" s="8"/>
      <c r="G59" s="8"/>
      <c r="H59" s="8"/>
      <c r="I59" s="8"/>
      <c r="J59" s="8"/>
      <c r="K59" s="8"/>
      <c r="L59" s="8"/>
      <c r="M59" s="8"/>
      <c r="N59" s="8"/>
      <c r="O59" s="8"/>
      <c r="P59" s="8"/>
    </row>
    <row r="60" spans="2:16" ht="21" x14ac:dyDescent="0.25">
      <c r="C60" s="8"/>
      <c r="D60" s="8"/>
      <c r="E60" s="8"/>
      <c r="F60" s="8"/>
      <c r="G60" s="8"/>
      <c r="H60" s="8"/>
      <c r="I60" s="8"/>
      <c r="J60" s="8"/>
      <c r="K60" s="8"/>
      <c r="L60" s="8"/>
      <c r="M60" s="8"/>
      <c r="N60" s="8"/>
      <c r="O60" s="8"/>
      <c r="P60" s="8"/>
    </row>
    <row r="61" spans="2:16" ht="21" x14ac:dyDescent="0.25">
      <c r="C61" s="8"/>
      <c r="D61" s="8"/>
      <c r="E61" s="8"/>
      <c r="F61" s="8"/>
      <c r="G61" s="8"/>
      <c r="H61" s="8"/>
      <c r="I61" s="8"/>
      <c r="J61" s="8"/>
      <c r="K61" s="8"/>
      <c r="L61" s="8"/>
      <c r="M61" s="8"/>
      <c r="N61" s="8"/>
      <c r="O61" s="8"/>
      <c r="P61" s="8"/>
    </row>
    <row r="62" spans="2:16" ht="21" x14ac:dyDescent="0.25">
      <c r="B62" s="8"/>
      <c r="C62" s="8"/>
      <c r="D62" s="8"/>
      <c r="E62" s="8"/>
      <c r="F62" s="8"/>
      <c r="G62" s="8"/>
      <c r="H62" s="8"/>
      <c r="I62" s="8"/>
      <c r="J62" s="8"/>
      <c r="K62" s="8"/>
      <c r="L62" s="8"/>
      <c r="M62" s="8"/>
      <c r="N62" s="8"/>
      <c r="O62" s="8"/>
      <c r="P62" s="8"/>
    </row>
  </sheetData>
  <mergeCells count="1">
    <mergeCell ref="B6:M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BD9FB-18F1-4E8F-A629-ED10D99E8E93}">
  <dimension ref="A2:I18"/>
  <sheetViews>
    <sheetView showGridLines="0" tabSelected="1" workbookViewId="0">
      <selection activeCell="F17" sqref="F17"/>
    </sheetView>
  </sheetViews>
  <sheetFormatPr defaultRowHeight="15" x14ac:dyDescent="0.25"/>
  <sheetData>
    <row r="2" spans="1:9" ht="21" x14ac:dyDescent="0.25">
      <c r="A2" s="15" t="s">
        <v>50</v>
      </c>
      <c r="B2" s="16"/>
      <c r="C2" s="16"/>
      <c r="D2" s="16"/>
      <c r="E2" s="16"/>
      <c r="F2" s="16"/>
      <c r="G2" s="16"/>
      <c r="H2" s="16"/>
      <c r="I2" s="16"/>
    </row>
    <row r="3" spans="1:9" ht="21" x14ac:dyDescent="0.25">
      <c r="A3" s="8"/>
    </row>
    <row r="4" spans="1:9" ht="21" x14ac:dyDescent="0.25">
      <c r="A4" s="8" t="s">
        <v>59</v>
      </c>
    </row>
    <row r="5" spans="1:9" ht="21" x14ac:dyDescent="0.25">
      <c r="A5" s="8" t="s">
        <v>51</v>
      </c>
    </row>
    <row r="6" spans="1:9" ht="21" x14ac:dyDescent="0.25">
      <c r="A6" s="8" t="s">
        <v>52</v>
      </c>
    </row>
    <row r="7" spans="1:9" ht="21" x14ac:dyDescent="0.25">
      <c r="A7" s="8"/>
    </row>
    <row r="8" spans="1:9" ht="21" x14ac:dyDescent="0.25">
      <c r="A8" s="8" t="s">
        <v>60</v>
      </c>
    </row>
    <row r="9" spans="1:9" ht="21" x14ac:dyDescent="0.25">
      <c r="A9" s="8" t="s">
        <v>53</v>
      </c>
    </row>
    <row r="10" spans="1:9" ht="21" x14ac:dyDescent="0.25">
      <c r="A10" s="8" t="s">
        <v>54</v>
      </c>
    </row>
    <row r="11" spans="1:9" ht="21" x14ac:dyDescent="0.25">
      <c r="A11" s="8"/>
    </row>
    <row r="12" spans="1:9" ht="21" x14ac:dyDescent="0.25">
      <c r="A12" s="8" t="s">
        <v>61</v>
      </c>
    </row>
    <row r="13" spans="1:9" ht="21" x14ac:dyDescent="0.25">
      <c r="A13" s="8" t="s">
        <v>55</v>
      </c>
    </row>
    <row r="14" spans="1:9" ht="21" x14ac:dyDescent="0.25">
      <c r="A14" s="8" t="s">
        <v>56</v>
      </c>
    </row>
    <row r="15" spans="1:9" ht="21" x14ac:dyDescent="0.25">
      <c r="A15" s="8"/>
    </row>
    <row r="16" spans="1:9" ht="21" x14ac:dyDescent="0.25">
      <c r="A16" s="8" t="s">
        <v>62</v>
      </c>
    </row>
    <row r="17" spans="1:1" ht="21" x14ac:dyDescent="0.25">
      <c r="A17" s="8" t="s">
        <v>57</v>
      </c>
    </row>
    <row r="18" spans="1:1" ht="21" x14ac:dyDescent="0.25">
      <c r="A18" s="8" t="s">
        <v>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A38D0-9193-46A3-A78C-52A764FD93CB}">
  <sheetPr codeName="Sheet3"/>
  <dimension ref="A3:B7"/>
  <sheetViews>
    <sheetView workbookViewId="0">
      <selection activeCell="A3" sqref="A3:B7"/>
    </sheetView>
  </sheetViews>
  <sheetFormatPr defaultRowHeight="15" x14ac:dyDescent="0.25"/>
  <cols>
    <col min="1" max="1" width="16.7109375" bestFit="1" customWidth="1"/>
    <col min="2" max="2" width="20" bestFit="1" customWidth="1"/>
    <col min="3" max="3" width="11.7109375" bestFit="1" customWidth="1"/>
    <col min="4" max="4" width="10.140625" bestFit="1" customWidth="1"/>
    <col min="5" max="5" width="17" bestFit="1" customWidth="1"/>
  </cols>
  <sheetData>
    <row r="3" spans="1:2" x14ac:dyDescent="0.25">
      <c r="A3" s="2" t="s">
        <v>41</v>
      </c>
      <c r="B3" t="s">
        <v>48</v>
      </c>
    </row>
    <row r="4" spans="1:2" x14ac:dyDescent="0.25">
      <c r="A4" s="3" t="s">
        <v>7</v>
      </c>
      <c r="B4" s="10">
        <v>10894.6</v>
      </c>
    </row>
    <row r="5" spans="1:2" x14ac:dyDescent="0.25">
      <c r="A5" s="3" t="s">
        <v>11</v>
      </c>
      <c r="B5" s="10">
        <v>9191.4499999999989</v>
      </c>
    </row>
    <row r="6" spans="1:2" x14ac:dyDescent="0.25">
      <c r="A6" s="3" t="s">
        <v>6</v>
      </c>
      <c r="B6" s="10">
        <v>8143.6</v>
      </c>
    </row>
    <row r="7" spans="1:2" x14ac:dyDescent="0.25">
      <c r="A7" s="3" t="s">
        <v>10</v>
      </c>
      <c r="B7" s="10">
        <v>7131.4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CA514-DA0A-40A1-9F17-10F35F3AED5C}">
  <sheetPr codeName="Sheet4"/>
  <dimension ref="A3:B8"/>
  <sheetViews>
    <sheetView workbookViewId="0">
      <selection activeCell="A3" sqref="A3:B8"/>
    </sheetView>
  </sheetViews>
  <sheetFormatPr defaultRowHeight="15" x14ac:dyDescent="0.25"/>
  <cols>
    <col min="1" max="1" width="13.140625" bestFit="1" customWidth="1"/>
    <col min="2" max="2" width="20" bestFit="1" customWidth="1"/>
  </cols>
  <sheetData>
    <row r="3" spans="1:2" x14ac:dyDescent="0.25">
      <c r="A3" s="2" t="s">
        <v>41</v>
      </c>
      <c r="B3" t="s">
        <v>48</v>
      </c>
    </row>
    <row r="4" spans="1:2" x14ac:dyDescent="0.25">
      <c r="A4" s="3" t="s">
        <v>31</v>
      </c>
      <c r="B4" s="10">
        <v>3503</v>
      </c>
    </row>
    <row r="5" spans="1:2" x14ac:dyDescent="0.25">
      <c r="A5" s="3" t="s">
        <v>13</v>
      </c>
      <c r="B5" s="10">
        <v>3032.8999999999996</v>
      </c>
    </row>
    <row r="6" spans="1:2" x14ac:dyDescent="0.25">
      <c r="A6" s="3" t="s">
        <v>39</v>
      </c>
      <c r="B6" s="10">
        <v>2327</v>
      </c>
    </row>
    <row r="7" spans="1:2" x14ac:dyDescent="0.25">
      <c r="A7" s="3" t="s">
        <v>5</v>
      </c>
      <c r="B7" s="10">
        <v>1778.8</v>
      </c>
    </row>
    <row r="8" spans="1:2" x14ac:dyDescent="0.25">
      <c r="A8" s="3" t="s">
        <v>40</v>
      </c>
      <c r="B8" s="10">
        <v>1777.05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67F82-6510-4D0F-B362-58329059E196}">
  <sheetPr codeName="Sheet5"/>
  <dimension ref="A3:B7"/>
  <sheetViews>
    <sheetView workbookViewId="0">
      <selection activeCell="A3" sqref="A3:B7"/>
    </sheetView>
  </sheetViews>
  <sheetFormatPr defaultRowHeight="15" x14ac:dyDescent="0.25"/>
  <cols>
    <col min="1" max="1" width="13.140625" bestFit="1" customWidth="1"/>
    <col min="2" max="2" width="20" bestFit="1" customWidth="1"/>
  </cols>
  <sheetData>
    <row r="3" spans="1:2" x14ac:dyDescent="0.25">
      <c r="A3" s="2" t="s">
        <v>41</v>
      </c>
      <c r="B3" t="s">
        <v>48</v>
      </c>
    </row>
    <row r="4" spans="1:2" x14ac:dyDescent="0.25">
      <c r="A4" s="3" t="s">
        <v>30</v>
      </c>
      <c r="B4" s="14">
        <v>11031.3</v>
      </c>
    </row>
    <row r="5" spans="1:2" x14ac:dyDescent="0.25">
      <c r="A5" s="3" t="s">
        <v>17</v>
      </c>
      <c r="B5" s="14">
        <v>8266.7999999999993</v>
      </c>
    </row>
    <row r="6" spans="1:2" x14ac:dyDescent="0.25">
      <c r="A6" s="3" t="s">
        <v>4</v>
      </c>
      <c r="B6" s="14">
        <v>7955.4</v>
      </c>
    </row>
    <row r="7" spans="1:2" x14ac:dyDescent="0.25">
      <c r="A7" s="3" t="s">
        <v>8</v>
      </c>
      <c r="B7" s="14">
        <v>8107.55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B280C-3393-4873-9012-84350CA05795}">
  <sheetPr codeName="Sheet6"/>
  <dimension ref="A3:B7"/>
  <sheetViews>
    <sheetView workbookViewId="0">
      <selection activeCell="B16" sqref="B16"/>
    </sheetView>
  </sheetViews>
  <sheetFormatPr defaultRowHeight="15" x14ac:dyDescent="0.25"/>
  <cols>
    <col min="1" max="1" width="20" bestFit="1" customWidth="1"/>
    <col min="2" max="2" width="16.28515625" bestFit="1" customWidth="1"/>
    <col min="3" max="3" width="11.7109375" bestFit="1" customWidth="1"/>
    <col min="4" max="4" width="10.140625" bestFit="1" customWidth="1"/>
    <col min="5" max="5" width="17" bestFit="1" customWidth="1"/>
    <col min="6" max="6" width="19.7109375" bestFit="1" customWidth="1"/>
    <col min="7" max="7" width="10.7109375" bestFit="1" customWidth="1"/>
    <col min="8" max="8" width="19.7109375" bestFit="1" customWidth="1"/>
    <col min="9" max="9" width="10.7109375" bestFit="1" customWidth="1"/>
  </cols>
  <sheetData>
    <row r="3" spans="1:2" x14ac:dyDescent="0.25">
      <c r="A3" s="2" t="s">
        <v>48</v>
      </c>
      <c r="B3" s="2" t="s">
        <v>42</v>
      </c>
    </row>
    <row r="4" spans="1:2" x14ac:dyDescent="0.25">
      <c r="A4" s="2" t="s">
        <v>41</v>
      </c>
      <c r="B4" t="s">
        <v>6</v>
      </c>
    </row>
    <row r="5" spans="1:2" x14ac:dyDescent="0.25">
      <c r="A5" s="3" t="s">
        <v>5</v>
      </c>
      <c r="B5" s="10">
        <v>1528.8</v>
      </c>
    </row>
    <row r="6" spans="1:2" x14ac:dyDescent="0.25">
      <c r="A6" s="3" t="s">
        <v>15</v>
      </c>
      <c r="B6" s="10">
        <v>1100</v>
      </c>
    </row>
    <row r="7" spans="1:2" x14ac:dyDescent="0.25">
      <c r="A7" s="3" t="s">
        <v>37</v>
      </c>
      <c r="B7" s="10">
        <v>1250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F2E23-6DF9-4CB9-89CD-81CCA39B825C}">
  <sheetPr codeName="Sheet7"/>
  <dimension ref="A3:B7"/>
  <sheetViews>
    <sheetView workbookViewId="0">
      <selection activeCell="D25" sqref="D25"/>
    </sheetView>
  </sheetViews>
  <sheetFormatPr defaultRowHeight="15" x14ac:dyDescent="0.25"/>
  <cols>
    <col min="1" max="1" width="20" bestFit="1" customWidth="1"/>
    <col min="2" max="2" width="16.28515625" bestFit="1" customWidth="1"/>
    <col min="3" max="3" width="11.7109375" bestFit="1" customWidth="1"/>
    <col min="4" max="4" width="10.140625" bestFit="1" customWidth="1"/>
    <col min="5" max="5" width="17" bestFit="1" customWidth="1"/>
    <col min="6" max="6" width="11.28515625" bestFit="1" customWidth="1"/>
  </cols>
  <sheetData>
    <row r="3" spans="1:2" x14ac:dyDescent="0.25">
      <c r="A3" s="2" t="s">
        <v>48</v>
      </c>
      <c r="B3" s="2" t="s">
        <v>42</v>
      </c>
    </row>
    <row r="4" spans="1:2" x14ac:dyDescent="0.25">
      <c r="A4" s="2" t="s">
        <v>41</v>
      </c>
      <c r="B4" t="s">
        <v>7</v>
      </c>
    </row>
    <row r="5" spans="1:2" x14ac:dyDescent="0.25">
      <c r="A5" s="3" t="s">
        <v>12</v>
      </c>
      <c r="B5" s="10">
        <v>1560</v>
      </c>
    </row>
    <row r="6" spans="1:2" x14ac:dyDescent="0.25">
      <c r="A6" s="3" t="s">
        <v>13</v>
      </c>
      <c r="B6" s="10">
        <v>1440</v>
      </c>
    </row>
    <row r="7" spans="1:2" x14ac:dyDescent="0.25">
      <c r="A7" s="3" t="s">
        <v>39</v>
      </c>
      <c r="B7" s="10">
        <v>2088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AAEBB-B8BF-441F-9903-4EA747A20F00}">
  <sheetPr codeName="Sheet8"/>
  <dimension ref="A3:B7"/>
  <sheetViews>
    <sheetView workbookViewId="0">
      <selection activeCell="C14" sqref="C14"/>
    </sheetView>
  </sheetViews>
  <sheetFormatPr defaultRowHeight="15" x14ac:dyDescent="0.25"/>
  <cols>
    <col min="1" max="1" width="20" bestFit="1" customWidth="1"/>
    <col min="2" max="2" width="16.28515625" bestFit="1" customWidth="1"/>
    <col min="3" max="3" width="11.7109375" bestFit="1" customWidth="1"/>
    <col min="4" max="4" width="10.140625" bestFit="1" customWidth="1"/>
    <col min="5" max="5" width="17" bestFit="1" customWidth="1"/>
    <col min="6" max="6" width="11.28515625" bestFit="1" customWidth="1"/>
  </cols>
  <sheetData>
    <row r="3" spans="1:2" x14ac:dyDescent="0.25">
      <c r="A3" s="2" t="s">
        <v>48</v>
      </c>
      <c r="B3" s="2" t="s">
        <v>42</v>
      </c>
    </row>
    <row r="4" spans="1:2" x14ac:dyDescent="0.25">
      <c r="A4" s="2" t="s">
        <v>41</v>
      </c>
      <c r="B4" t="s">
        <v>10</v>
      </c>
    </row>
    <row r="5" spans="1:2" x14ac:dyDescent="0.25">
      <c r="A5" s="3" t="s">
        <v>13</v>
      </c>
      <c r="B5" s="10">
        <v>1280</v>
      </c>
    </row>
    <row r="6" spans="1:2" x14ac:dyDescent="0.25">
      <c r="A6" s="3" t="s">
        <v>21</v>
      </c>
      <c r="B6" s="10">
        <v>1060</v>
      </c>
    </row>
    <row r="7" spans="1:2" x14ac:dyDescent="0.25">
      <c r="A7" s="3" t="s">
        <v>27</v>
      </c>
      <c r="B7" s="10">
        <v>912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981F0-A553-4022-B6B2-9C1E70E6282C}">
  <sheetPr codeName="Sheet9"/>
  <dimension ref="A3:B7"/>
  <sheetViews>
    <sheetView workbookViewId="0">
      <selection activeCell="B13" sqref="B13"/>
    </sheetView>
  </sheetViews>
  <sheetFormatPr defaultRowHeight="15" x14ac:dyDescent="0.25"/>
  <cols>
    <col min="1" max="1" width="20" bestFit="1" customWidth="1"/>
    <col min="2" max="2" width="17" bestFit="1" customWidth="1"/>
    <col min="3" max="3" width="11.7109375" bestFit="1" customWidth="1"/>
    <col min="4" max="4" width="10.140625" bestFit="1" customWidth="1"/>
    <col min="5" max="5" width="17" bestFit="1" customWidth="1"/>
    <col min="6" max="6" width="11.28515625" bestFit="1" customWidth="1"/>
  </cols>
  <sheetData>
    <row r="3" spans="1:2" x14ac:dyDescent="0.25">
      <c r="A3" s="2" t="s">
        <v>48</v>
      </c>
      <c r="B3" s="2" t="s">
        <v>42</v>
      </c>
    </row>
    <row r="4" spans="1:2" x14ac:dyDescent="0.25">
      <c r="A4" s="2" t="s">
        <v>41</v>
      </c>
      <c r="B4" t="s">
        <v>11</v>
      </c>
    </row>
    <row r="5" spans="1:2" x14ac:dyDescent="0.25">
      <c r="A5" s="3" t="s">
        <v>14</v>
      </c>
      <c r="B5" s="10">
        <v>835.2</v>
      </c>
    </row>
    <row r="6" spans="1:2" x14ac:dyDescent="0.25">
      <c r="A6" s="3" t="s">
        <v>31</v>
      </c>
      <c r="B6" s="10">
        <v>3125</v>
      </c>
    </row>
    <row r="7" spans="1:2" x14ac:dyDescent="0.25">
      <c r="A7" s="3" t="s">
        <v>40</v>
      </c>
      <c r="B7" s="10">
        <v>1093.05</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Sales_Data</vt:lpstr>
      <vt:lpstr>Dashboard</vt:lpstr>
      <vt:lpstr>Analysis</vt:lpstr>
      <vt:lpstr>Conclusion &amp; Recommendation </vt:lpstr>
      <vt:lpstr>Sales by Product</vt:lpstr>
      <vt:lpstr>Top 5 Sales person</vt:lpstr>
      <vt:lpstr>Sales by Branch</vt:lpstr>
      <vt:lpstr>Air COnditioner</vt:lpstr>
      <vt:lpstr>Refrigerator</vt:lpstr>
      <vt:lpstr>Television</vt:lpstr>
      <vt:lpstr>Wasing Machine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Darshan Thakur</cp:lastModifiedBy>
  <dcterms:created xsi:type="dcterms:W3CDTF">2023-04-12T13:47:01Z</dcterms:created>
  <dcterms:modified xsi:type="dcterms:W3CDTF">2024-04-20T12:11:35Z</dcterms:modified>
</cp:coreProperties>
</file>